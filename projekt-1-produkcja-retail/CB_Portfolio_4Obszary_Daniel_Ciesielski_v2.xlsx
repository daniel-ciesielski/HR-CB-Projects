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 Benchmarking" sheetId="2" state="visible" r:id="rId2"/>
    <sheet xmlns:r="http://schemas.openxmlformats.org/officeDocument/2006/relationships" name="2. Analiza Płac" sheetId="3" state="visible" r:id="rId3"/>
    <sheet xmlns:r="http://schemas.openxmlformats.org/officeDocument/2006/relationships" name="3. Pay Bands" sheetId="4" state="visible" r:id="rId4"/>
    <sheet xmlns:r="http://schemas.openxmlformats.org/officeDocument/2006/relationships" name="4. System Premiow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LN&quot;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70AD47"/>
      <sz val="10"/>
    </font>
    <font>
      <name val="Arial"/>
      <b val="1"/>
      <color rgb="002E75B6"/>
      <sz val="10"/>
    </font>
    <font>
      <name val="Arial"/>
      <b val="1"/>
      <color rgb="00ED7D31"/>
      <sz val="10"/>
    </font>
    <font>
      <name val="Arial"/>
      <b val="1"/>
      <color rgb="00404040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i val="1"/>
      <color rgb="001F3864"/>
      <sz val="10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1F3864"/>
      <sz val="11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3B1F6E"/>
      </patternFill>
    </fill>
    <fill>
      <patternFill patternType="solid">
        <fgColor rgb="00E8E0F0"/>
      </patternFill>
    </fill>
    <fill>
      <patternFill patternType="solid">
        <fgColor rgb="00FFDCE1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3" fillId="2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0" fontId="10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0" fontId="10" fillId="8" borderId="1" applyAlignment="1" pivotButton="0" quotePrefix="0" xfId="0">
      <alignment horizontal="center" vertical="center"/>
    </xf>
    <xf numFmtId="165" fontId="10" fillId="8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164" fontId="10" fillId="12" borderId="1" applyAlignment="1" pivotButton="0" quotePrefix="0" xfId="0">
      <alignment horizontal="center" vertical="center"/>
    </xf>
    <xf numFmtId="10" fontId="10" fillId="12" borderId="1" applyAlignment="1" pivotButton="0" quotePrefix="0" xfId="0">
      <alignment horizontal="center" vertical="center"/>
    </xf>
    <xf numFmtId="165" fontId="10" fillId="1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165" fontId="5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164" fontId="15" fillId="7" borderId="1" applyAlignment="1" pivotButton="0" quotePrefix="0" xfId="0">
      <alignment horizontal="center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6" customWidth="1" min="4" max="4"/>
    <col width="16" customWidth="1" min="5" max="5"/>
    <col width="18" customWidth="1" min="6" max="6"/>
  </cols>
  <sheetData>
    <row r="1" ht="50" customHeight="1">
      <c r="A1" s="1" t="inlineStr">
        <is>
          <t>PORTFOLIO C&amp;B  |  Daniel Ciesielski  |  HR &amp; Compensation Analytics</t>
        </is>
      </c>
    </row>
    <row r="2" ht="22" customHeight="1">
      <c r="A2" s="2" t="inlineStr">
        <is>
          <t>O PROJEKCIE</t>
        </is>
      </c>
      <c r="B2" s="67" t="n"/>
      <c r="C2" s="67" t="n"/>
      <c r="D2" s="67" t="n"/>
      <c r="E2" s="67" t="n"/>
      <c r="F2" s="68" t="n"/>
    </row>
    <row r="3" ht="38" customHeight="1">
      <c r="A3" s="3" t="inlineStr">
        <is>
          <t>Zaawansowany projekt analityczny C&amp;B dla firmy produkcyjno-handlowej (300 pracowników). Analizy podzielone na 4 obszary biznesowe: Produkcja, Magazyn/Logistyka, Sprzedaż Detaliczna i HQ. Każdy z 4 arkuszy tematycznych zawiera osobne sekcje per obszar z danymi, statystykami i rekomendacjami dla zarządu.</t>
        </is>
      </c>
      <c r="B3" s="67" t="n"/>
      <c r="C3" s="67" t="n"/>
      <c r="D3" s="67" t="n"/>
      <c r="E3" s="67" t="n"/>
      <c r="F3" s="68" t="n"/>
    </row>
    <row r="5" ht="22" customHeight="1">
      <c r="A5" s="2" t="inlineStr">
        <is>
          <t>STRUKTURA ORGANIZACYJNA</t>
        </is>
      </c>
      <c r="B5" s="67" t="n"/>
      <c r="C5" s="67" t="n"/>
      <c r="D5" s="67" t="n"/>
      <c r="E5" s="67" t="n"/>
      <c r="F5" s="68" t="n"/>
    </row>
    <row r="6" ht="30" customHeight="1">
      <c r="A6" s="3" t="inlineStr">
        <is>
          <t>Produkcja (71 prac.) • Magazyn/Logistyka (58 prac.) • Sprzedaż Detaliczna — Retail (96 prac.) • HQ: HR + Finanse + IT + Marketing (75 prac.)</t>
        </is>
      </c>
      <c r="B6" s="67" t="n"/>
      <c r="C6" s="67" t="n"/>
      <c r="D6" s="67" t="n"/>
      <c r="E6" s="67" t="n"/>
      <c r="F6" s="68" t="n"/>
    </row>
    <row r="8" ht="22" customHeight="1">
      <c r="A8" s="2" t="inlineStr">
        <is>
          <t>ZAKRES KOMPETENCJI</t>
        </is>
      </c>
      <c r="B8" s="67" t="n"/>
      <c r="C8" s="67" t="n"/>
      <c r="D8" s="67" t="n"/>
      <c r="E8" s="67" t="n"/>
      <c r="F8" s="68" t="n"/>
    </row>
    <row r="9" ht="38" customHeight="1">
      <c r="A9" s="3" t="inlineStr">
        <is>
          <t>Benchmarking wynagrodzeń (compa-ratio, P50 rynku) per obszar • Analiza statystyczna płac (mediana, P25/P75, AVERAGEIF, COUNTIFS) • Projektowanie widełek płacowych (pay bands, range penetration) • Kalkulacja i analiza systemów premiowych • Rekomendacje dla zarządu</t>
        </is>
      </c>
      <c r="B9" s="67" t="n"/>
      <c r="C9" s="67" t="n"/>
      <c r="D9" s="67" t="n"/>
      <c r="E9" s="67" t="n"/>
      <c r="F9" s="68" t="n"/>
    </row>
    <row r="11" ht="22" customHeight="1">
      <c r="A11" s="2" t="inlineStr">
        <is>
          <t>NARZĘDZIA</t>
        </is>
      </c>
      <c r="B11" s="67" t="n"/>
      <c r="C11" s="67" t="n"/>
      <c r="D11" s="67" t="n"/>
      <c r="E11" s="67" t="n"/>
      <c r="F11" s="68" t="n"/>
    </row>
    <row r="12" ht="22" customHeight="1">
      <c r="A12" s="3" t="inlineStr">
        <is>
          <t>Microsoft Excel: tabele przestawne, AVERAGEIF, COUNTIFS, formuły tablicowe, VLOOKUP/XLOOKUP</t>
        </is>
      </c>
      <c r="B12" s="67" t="n"/>
      <c r="C12" s="67" t="n"/>
      <c r="D12" s="67" t="n"/>
      <c r="E12" s="67" t="n"/>
      <c r="F12" s="68" t="n"/>
    </row>
    <row r="14" ht="22" customHeight="1">
      <c r="A14" s="2" t="inlineStr">
        <is>
          <t>KONTAKT</t>
        </is>
      </c>
      <c r="B14" s="67" t="n"/>
      <c r="C14" s="67" t="n"/>
      <c r="D14" s="67" t="n"/>
      <c r="E14" s="67" t="n"/>
      <c r="F14" s="68" t="n"/>
    </row>
    <row r="15" ht="22" customHeight="1">
      <c r="A15" s="3" t="inlineStr">
        <is>
          <t>LinkedIn: linkedin.com/in/daniel-ciesielski  |  E-mail: daltoniusz123@gmail.com</t>
        </is>
      </c>
      <c r="B15" s="67" t="n"/>
      <c r="C15" s="67" t="n"/>
      <c r="D15" s="67" t="n"/>
      <c r="E15" s="67" t="n"/>
      <c r="F15" s="68" t="n"/>
    </row>
    <row r="17" ht="22" customHeight="1">
      <c r="A17" s="2" t="inlineStr">
        <is>
          <t>ZAWARTOŚĆ PLIKU</t>
        </is>
      </c>
      <c r="B17" s="67" t="n"/>
      <c r="C17" s="67" t="n"/>
      <c r="D17" s="67" t="n"/>
      <c r="E17" s="67" t="n"/>
      <c r="F17" s="68" t="n"/>
    </row>
    <row r="18" ht="30" customHeight="1">
      <c r="A18" s="4" t="inlineStr">
        <is>
          <t>1. Benchmarking</t>
        </is>
      </c>
      <c r="B18" s="5" t="inlineStr">
        <is>
          <t>Pozycja płacowa 32 stanowisk vs rynek (P50). Compa-ratio, koszt dostosowania — osobno dla każdego z 4 obszarów.</t>
        </is>
      </c>
      <c r="C18" s="67" t="n"/>
      <c r="D18" s="67" t="n"/>
      <c r="E18" s="67" t="n"/>
      <c r="F18" s="68" t="n"/>
    </row>
    <row r="19" ht="30" customHeight="1">
      <c r="A19" s="4" t="inlineStr">
        <is>
          <t>2. Analiza Płac</t>
        </is>
      </c>
      <c r="B19" s="6" t="inlineStr">
        <is>
          <t>Statystyki opisowe (mediana, P25/P75, premia, rotacja) + kluczowe obserwacje per obszar.</t>
        </is>
      </c>
      <c r="C19" s="67" t="n"/>
      <c r="D19" s="67" t="n"/>
      <c r="E19" s="67" t="n"/>
      <c r="F19" s="68" t="n"/>
    </row>
    <row r="20" ht="30" customHeight="1">
      <c r="A20" s="4" t="inlineStr">
        <is>
          <t>3. Pay Bands</t>
        </is>
      </c>
      <c r="B20" s="5" t="inlineStr">
        <is>
          <t>Widełki płacowe per grade i obszar. Analiza underpaid/overpaid. Range penetration. Rekomendacje strukturalne.</t>
        </is>
      </c>
      <c r="C20" s="67" t="n"/>
      <c r="D20" s="67" t="n"/>
      <c r="E20" s="67" t="n"/>
      <c r="F20" s="68" t="n"/>
    </row>
    <row r="21" ht="30" customHeight="1">
      <c r="A21" s="4" t="inlineStr">
        <is>
          <t>4. System Premiowy</t>
        </is>
      </c>
      <c r="B21" s="6" t="inlineStr">
        <is>
          <t>KPI, cap premii, analiza overpaid/underpaid i rekomendacje dla zarządu — osobno dla każdego obszaru.</t>
        </is>
      </c>
      <c r="C21" s="67" t="n"/>
      <c r="D21" s="67" t="n"/>
      <c r="E21" s="67" t="n"/>
      <c r="F21" s="68" t="n"/>
    </row>
  </sheetData>
  <mergeCells count="16">
    <mergeCell ref="B21:F21"/>
    <mergeCell ref="A2:F2"/>
    <mergeCell ref="A11:F11"/>
    <mergeCell ref="A14:F14"/>
    <mergeCell ref="B20:F20"/>
    <mergeCell ref="A1:F1"/>
    <mergeCell ref="A5:F5"/>
    <mergeCell ref="A9:F9"/>
    <mergeCell ref="B19:F19"/>
    <mergeCell ref="A8:F8"/>
    <mergeCell ref="B18:F18"/>
    <mergeCell ref="A6:F6"/>
    <mergeCell ref="A17:F17"/>
    <mergeCell ref="A12:F12"/>
    <mergeCell ref="A3:F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3" customWidth="1" min="4" max="4"/>
    <col width="14" customWidth="1" min="5" max="5"/>
    <col width="16" customWidth="1" min="6" max="6"/>
    <col width="10" customWidth="1" min="7" max="7"/>
    <col width="18" customWidth="1" min="8" max="8"/>
    <col width="18" customWidth="1" min="9" max="9"/>
  </cols>
  <sheetData>
    <row r="1" ht="38" customHeight="1">
      <c r="A1" s="7" t="inlineStr">
        <is>
          <t>BENCHMARKING WYNAGRODZEŃ  |  4 obszary: Produkcja / Magazyn / Retail / HQ</t>
        </is>
      </c>
    </row>
    <row r="2" ht="18" customHeight="1">
      <c r="A2" s="8" t="inlineStr">
        <is>
          <t>Autor: Daniel Ciesielski  |  Źródło: dane szkoleniowe C&amp;B  |  Narzędzia: Excel</t>
        </is>
      </c>
    </row>
    <row r="3" ht="26" customHeight="1">
      <c r="A3" s="9" t="inlineStr">
        <is>
          <t>▌ OBSZAR: PRODUKCJA   | 71 pracowników</t>
        </is>
      </c>
      <c r="B3" s="67" t="n"/>
      <c r="C3" s="67" t="n"/>
      <c r="D3" s="67" t="n"/>
      <c r="E3" s="67" t="n"/>
      <c r="F3" s="67" t="n"/>
      <c r="G3" s="67" t="n"/>
      <c r="H3" s="67" t="n"/>
      <c r="I3" s="68" t="n"/>
    </row>
    <row r="4">
      <c r="A4" s="10" t="inlineStr">
        <is>
          <t>Stanowisko</t>
        </is>
      </c>
      <c r="B4" s="10" t="inlineStr">
        <is>
          <t>P50 Rynek</t>
        </is>
      </c>
      <c r="C4" s="10" t="inlineStr">
        <is>
          <t>Mediana Firmy</t>
        </is>
      </c>
      <c r="D4" s="10" t="inlineStr">
        <is>
          <t>Compa-Ratio</t>
        </is>
      </c>
      <c r="E4" s="10" t="inlineStr">
        <is>
          <t>Pozycja vs Rynek</t>
        </is>
      </c>
      <c r="F4" s="10" t="inlineStr">
        <is>
          <t>Ocena Pozycji</t>
        </is>
      </c>
      <c r="G4" s="10" t="inlineStr">
        <is>
          <t>Liczba Osób</t>
        </is>
      </c>
      <c r="H4" s="10" t="inlineStr">
        <is>
          <t>Łączny Koszt (PLN)</t>
        </is>
      </c>
      <c r="I4" s="10" t="inlineStr">
        <is>
          <t>Koszt Dost. (PLN)</t>
        </is>
      </c>
    </row>
    <row r="5">
      <c r="A5" s="5" t="inlineStr">
        <is>
          <t>Operator Produkcji</t>
        </is>
      </c>
      <c r="B5" s="11" t="n">
        <v>4800</v>
      </c>
      <c r="C5" s="11" t="n">
        <v>4700</v>
      </c>
      <c r="D5" s="12">
        <f>C5/B5</f>
        <v/>
      </c>
      <c r="E5" s="12">
        <f>(C5-B5)/B5</f>
        <v/>
      </c>
      <c r="F5" s="13" t="inlineStr">
        <is>
          <t>Na rynku</t>
        </is>
      </c>
      <c r="G5" s="14" t="n">
        <v>38</v>
      </c>
      <c r="H5" s="15">
        <f>C5*G5</f>
        <v/>
      </c>
      <c r="I5" s="15">
        <f>IF(C5&lt;B5,(B5-C5)*G5,0)</f>
        <v/>
      </c>
    </row>
    <row r="6">
      <c r="A6" s="6" t="inlineStr">
        <is>
          <t>Brygadzista</t>
        </is>
      </c>
      <c r="B6" s="16" t="n">
        <v>6500</v>
      </c>
      <c r="C6" s="16" t="n">
        <v>6900</v>
      </c>
      <c r="D6" s="17">
        <f>C6/B6</f>
        <v/>
      </c>
      <c r="E6" s="17">
        <f>(C6-B6)/B6</f>
        <v/>
      </c>
      <c r="F6" s="18" t="inlineStr">
        <is>
          <t>Powyżej rynku</t>
        </is>
      </c>
      <c r="G6" s="19" t="n">
        <v>12</v>
      </c>
      <c r="H6" s="20">
        <f>C6*G6</f>
        <v/>
      </c>
      <c r="I6" s="20">
        <f>IF(C6&lt;B6,(B6-C6)*G6,0)</f>
        <v/>
      </c>
    </row>
    <row r="7">
      <c r="A7" s="5" t="inlineStr">
        <is>
          <t>Specjalista ds. Jakości</t>
        </is>
      </c>
      <c r="B7" s="11" t="n">
        <v>7200</v>
      </c>
      <c r="C7" s="11" t="n">
        <v>6800</v>
      </c>
      <c r="D7" s="12">
        <f>C7/B7</f>
        <v/>
      </c>
      <c r="E7" s="12">
        <f>(C7-B7)/B7</f>
        <v/>
      </c>
      <c r="F7" s="21" t="inlineStr">
        <is>
          <t>Poniżej rynku</t>
        </is>
      </c>
      <c r="G7" s="14" t="n">
        <v>8</v>
      </c>
      <c r="H7" s="15">
        <f>C7*G7</f>
        <v/>
      </c>
      <c r="I7" s="15">
        <f>IF(C7&lt;B7,(B7-C7)*G7,0)</f>
        <v/>
      </c>
    </row>
    <row r="8">
      <c r="A8" s="6" t="inlineStr">
        <is>
          <t>Inżynier Procesu</t>
        </is>
      </c>
      <c r="B8" s="16" t="n">
        <v>9500</v>
      </c>
      <c r="C8" s="16" t="n">
        <v>9100</v>
      </c>
      <c r="D8" s="17">
        <f>C8/B8</f>
        <v/>
      </c>
      <c r="E8" s="17">
        <f>(C8-B8)/B8</f>
        <v/>
      </c>
      <c r="F8" s="21" t="inlineStr">
        <is>
          <t>Poniżej rynku</t>
        </is>
      </c>
      <c r="G8" s="19" t="n">
        <v>5</v>
      </c>
      <c r="H8" s="20">
        <f>C8*G8</f>
        <v/>
      </c>
      <c r="I8" s="20">
        <f>IF(C8&lt;B8,(B8-C8)*G8,0)</f>
        <v/>
      </c>
    </row>
    <row r="9">
      <c r="A9" s="5" t="inlineStr">
        <is>
          <t>Kierownik Zmiany</t>
        </is>
      </c>
      <c r="B9" s="11" t="n">
        <v>8500</v>
      </c>
      <c r="C9" s="11" t="n">
        <v>8100</v>
      </c>
      <c r="D9" s="12">
        <f>C9/B9</f>
        <v/>
      </c>
      <c r="E9" s="12">
        <f>(C9-B9)/B9</f>
        <v/>
      </c>
      <c r="F9" s="21" t="inlineStr">
        <is>
          <t>Poniżej rynku</t>
        </is>
      </c>
      <c r="G9" s="14" t="n">
        <v>6</v>
      </c>
      <c r="H9" s="15">
        <f>C9*G9</f>
        <v/>
      </c>
      <c r="I9" s="15">
        <f>IF(C9&lt;B9,(B9-C9)*G9,0)</f>
        <v/>
      </c>
    </row>
    <row r="10">
      <c r="A10" s="6" t="inlineStr">
        <is>
          <t>Kierownik Produkcji</t>
        </is>
      </c>
      <c r="B10" s="16" t="n">
        <v>13000</v>
      </c>
      <c r="C10" s="16" t="n">
        <v>14200</v>
      </c>
      <c r="D10" s="17">
        <f>C10/B10</f>
        <v/>
      </c>
      <c r="E10" s="17">
        <f>(C10-B10)/B10</f>
        <v/>
      </c>
      <c r="F10" s="18" t="inlineStr">
        <is>
          <t>Powyżej rynku</t>
        </is>
      </c>
      <c r="G10" s="19" t="n">
        <v>2</v>
      </c>
      <c r="H10" s="20">
        <f>C10*G10</f>
        <v/>
      </c>
      <c r="I10" s="20">
        <f>IF(C10&lt;B10,(B10-C10)*G10,0)</f>
        <v/>
      </c>
    </row>
    <row r="11">
      <c r="A11" s="22" t="inlineStr">
        <is>
          <t>Łączny koszt płac obszaru:</t>
        </is>
      </c>
      <c r="B11" s="67" t="n"/>
      <c r="C11" s="67" t="n"/>
      <c r="D11" s="67" t="n"/>
      <c r="E11" s="67" t="n"/>
      <c r="F11" s="67" t="n"/>
      <c r="G11" s="68" t="n"/>
      <c r="H11" s="71">
        <f>SUM(H5:H10)</f>
        <v/>
      </c>
      <c r="I11" s="68" t="n"/>
      <c r="J11" s="72" t="n"/>
    </row>
    <row r="13" ht="26" customHeight="1">
      <c r="A13" s="24" t="inlineStr">
        <is>
          <t>▌ OBSZAR: MAGAZYN/LOGISTYKA   | 58 pracowników</t>
        </is>
      </c>
      <c r="B13" s="67" t="n"/>
      <c r="C13" s="67" t="n"/>
      <c r="D13" s="67" t="n"/>
      <c r="E13" s="67" t="n"/>
      <c r="F13" s="67" t="n"/>
      <c r="G13" s="67" t="n"/>
      <c r="H13" s="67" t="n"/>
      <c r="I13" s="68" t="n"/>
    </row>
    <row r="14">
      <c r="A14" s="25" t="inlineStr">
        <is>
          <t>Stanowisko</t>
        </is>
      </c>
      <c r="B14" s="25" t="inlineStr">
        <is>
          <t>P50 Rynek</t>
        </is>
      </c>
      <c r="C14" s="25" t="inlineStr">
        <is>
          <t>Mediana Firmy</t>
        </is>
      </c>
      <c r="D14" s="25" t="inlineStr">
        <is>
          <t>Compa-Ratio</t>
        </is>
      </c>
      <c r="E14" s="25" t="inlineStr">
        <is>
          <t>Pozycja vs Rynek</t>
        </is>
      </c>
      <c r="F14" s="25" t="inlineStr">
        <is>
          <t>Ocena Pozycji</t>
        </is>
      </c>
      <c r="G14" s="25" t="inlineStr">
        <is>
          <t>Liczba Osób</t>
        </is>
      </c>
      <c r="H14" s="25" t="inlineStr">
        <is>
          <t>Łączny Koszt (PLN)</t>
        </is>
      </c>
      <c r="I14" s="25" t="inlineStr">
        <is>
          <t>Koszt Dost. (PLN)</t>
        </is>
      </c>
    </row>
    <row r="15">
      <c r="A15" s="5" t="inlineStr">
        <is>
          <t>Magazynier</t>
        </is>
      </c>
      <c r="B15" s="11" t="n">
        <v>4700</v>
      </c>
      <c r="C15" s="11" t="n">
        <v>4900</v>
      </c>
      <c r="D15" s="12">
        <f>C15/B15</f>
        <v/>
      </c>
      <c r="E15" s="12">
        <f>(C15-B15)/B15</f>
        <v/>
      </c>
      <c r="F15" s="18" t="inlineStr">
        <is>
          <t>Powyżej rynku</t>
        </is>
      </c>
      <c r="G15" s="14" t="n">
        <v>28</v>
      </c>
      <c r="H15" s="15">
        <f>C15*G15</f>
        <v/>
      </c>
      <c r="I15" s="15">
        <f>IF(C15&lt;B15,(B15-C15)*G15,0)</f>
        <v/>
      </c>
    </row>
    <row r="16">
      <c r="A16" s="6" t="inlineStr">
        <is>
          <t>Operator Wózka</t>
        </is>
      </c>
      <c r="B16" s="16" t="n">
        <v>5300</v>
      </c>
      <c r="C16" s="16" t="n">
        <v>5100</v>
      </c>
      <c r="D16" s="17">
        <f>C16/B16</f>
        <v/>
      </c>
      <c r="E16" s="17">
        <f>(C16-B16)/B16</f>
        <v/>
      </c>
      <c r="F16" s="21" t="inlineStr">
        <is>
          <t>Poniżej rynku</t>
        </is>
      </c>
      <c r="G16" s="19" t="n">
        <v>16</v>
      </c>
      <c r="H16" s="20">
        <f>C16*G16</f>
        <v/>
      </c>
      <c r="I16" s="20">
        <f>IF(C16&lt;B16,(B16-C16)*G16,0)</f>
        <v/>
      </c>
    </row>
    <row r="17">
      <c r="A17" s="5" t="inlineStr">
        <is>
          <t>Planista Logistyki</t>
        </is>
      </c>
      <c r="B17" s="11" t="n">
        <v>7500</v>
      </c>
      <c r="C17" s="11" t="n">
        <v>7500</v>
      </c>
      <c r="D17" s="12">
        <f>C17/B17</f>
        <v/>
      </c>
      <c r="E17" s="12">
        <f>(C17-B17)/B17</f>
        <v/>
      </c>
      <c r="F17" s="13" t="inlineStr">
        <is>
          <t>Na rynku</t>
        </is>
      </c>
      <c r="G17" s="14" t="n">
        <v>4</v>
      </c>
      <c r="H17" s="15">
        <f>C17*G17</f>
        <v/>
      </c>
      <c r="I17" s="15">
        <f>IF(C17&lt;B17,(B17-C17)*G17,0)</f>
        <v/>
      </c>
    </row>
    <row r="18">
      <c r="A18" s="6" t="inlineStr">
        <is>
          <t>Specjalista ds. Logistyki</t>
        </is>
      </c>
      <c r="B18" s="16" t="n">
        <v>6800</v>
      </c>
      <c r="C18" s="16" t="n">
        <v>7400</v>
      </c>
      <c r="D18" s="17">
        <f>C18/B18</f>
        <v/>
      </c>
      <c r="E18" s="17">
        <f>(C18-B18)/B18</f>
        <v/>
      </c>
      <c r="F18" s="18" t="inlineStr">
        <is>
          <t>Powyżej rynku</t>
        </is>
      </c>
      <c r="G18" s="19" t="n">
        <v>7</v>
      </c>
      <c r="H18" s="20">
        <f>C18*G18</f>
        <v/>
      </c>
      <c r="I18" s="20">
        <f>IF(C18&lt;B18,(B18-C18)*G18,0)</f>
        <v/>
      </c>
    </row>
    <row r="19">
      <c r="A19" s="5" t="inlineStr">
        <is>
          <t>Kierownik Magazynu</t>
        </is>
      </c>
      <c r="B19" s="11" t="n">
        <v>10500</v>
      </c>
      <c r="C19" s="11" t="n">
        <v>9800</v>
      </c>
      <c r="D19" s="12">
        <f>C19/B19</f>
        <v/>
      </c>
      <c r="E19" s="12">
        <f>(C19-B19)/B19</f>
        <v/>
      </c>
      <c r="F19" s="21" t="inlineStr">
        <is>
          <t>Poniżej rynku</t>
        </is>
      </c>
      <c r="G19" s="14" t="n">
        <v>3</v>
      </c>
      <c r="H19" s="15">
        <f>C19*G19</f>
        <v/>
      </c>
      <c r="I19" s="15">
        <f>IF(C19&lt;B19,(B19-C19)*G19,0)</f>
        <v/>
      </c>
    </row>
    <row r="20">
      <c r="A20" s="22" t="inlineStr">
        <is>
          <t>Łączny koszt płac obszaru:</t>
        </is>
      </c>
      <c r="B20" s="67" t="n"/>
      <c r="C20" s="67" t="n"/>
      <c r="D20" s="67" t="n"/>
      <c r="E20" s="67" t="n"/>
      <c r="F20" s="67" t="n"/>
      <c r="G20" s="68" t="n"/>
      <c r="H20" s="71">
        <f>SUM(H15:H19)</f>
        <v/>
      </c>
      <c r="I20" s="68" t="n"/>
      <c r="J20" s="72" t="n"/>
    </row>
    <row r="22" ht="26" customHeight="1">
      <c r="A22" s="27" t="inlineStr">
        <is>
          <t>▌ OBSZAR: SPRZEDAŻ DETALICZNA   | 96 pracowników</t>
        </is>
      </c>
      <c r="B22" s="67" t="n"/>
      <c r="C22" s="67" t="n"/>
      <c r="D22" s="67" t="n"/>
      <c r="E22" s="67" t="n"/>
      <c r="F22" s="67" t="n"/>
      <c r="G22" s="67" t="n"/>
      <c r="H22" s="67" t="n"/>
      <c r="I22" s="68" t="n"/>
    </row>
    <row r="23">
      <c r="A23" s="28" t="inlineStr">
        <is>
          <t>Stanowisko</t>
        </is>
      </c>
      <c r="B23" s="28" t="inlineStr">
        <is>
          <t>P50 Rynek</t>
        </is>
      </c>
      <c r="C23" s="28" t="inlineStr">
        <is>
          <t>Mediana Firmy</t>
        </is>
      </c>
      <c r="D23" s="28" t="inlineStr">
        <is>
          <t>Compa-Ratio</t>
        </is>
      </c>
      <c r="E23" s="28" t="inlineStr">
        <is>
          <t>Pozycja vs Rynek</t>
        </is>
      </c>
      <c r="F23" s="28" t="inlineStr">
        <is>
          <t>Ocena Pozycji</t>
        </is>
      </c>
      <c r="G23" s="28" t="inlineStr">
        <is>
          <t>Liczba Osób</t>
        </is>
      </c>
      <c r="H23" s="28" t="inlineStr">
        <is>
          <t>Łączny Koszt (PLN)</t>
        </is>
      </c>
      <c r="I23" s="28" t="inlineStr">
        <is>
          <t>Koszt Dost. (PLN)</t>
        </is>
      </c>
    </row>
    <row r="24">
      <c r="A24" s="5" t="inlineStr">
        <is>
          <t>Sprzedawca</t>
        </is>
      </c>
      <c r="B24" s="11" t="n">
        <v>4500</v>
      </c>
      <c r="C24" s="11" t="n">
        <v>4400</v>
      </c>
      <c r="D24" s="12">
        <f>C24/B24</f>
        <v/>
      </c>
      <c r="E24" s="12">
        <f>(C24-B24)/B24</f>
        <v/>
      </c>
      <c r="F24" s="13" t="inlineStr">
        <is>
          <t>Na rynku</t>
        </is>
      </c>
      <c r="G24" s="14" t="n">
        <v>52</v>
      </c>
      <c r="H24" s="15">
        <f>C24*G24</f>
        <v/>
      </c>
      <c r="I24" s="15">
        <f>IF(C24&lt;B24,(B24-C24)*G24,0)</f>
        <v/>
      </c>
    </row>
    <row r="25">
      <c r="A25" s="6" t="inlineStr">
        <is>
          <t>Starszy Sprzedawca</t>
        </is>
      </c>
      <c r="B25" s="16" t="n">
        <v>5400</v>
      </c>
      <c r="C25" s="16" t="n">
        <v>5700</v>
      </c>
      <c r="D25" s="17">
        <f>C25/B25</f>
        <v/>
      </c>
      <c r="E25" s="17">
        <f>(C25-B25)/B25</f>
        <v/>
      </c>
      <c r="F25" s="18" t="inlineStr">
        <is>
          <t>Powyżej rynku</t>
        </is>
      </c>
      <c r="G25" s="19" t="n">
        <v>24</v>
      </c>
      <c r="H25" s="20">
        <f>C25*G25</f>
        <v/>
      </c>
      <c r="I25" s="20">
        <f>IF(C25&lt;B25,(B25-C25)*G25,0)</f>
        <v/>
      </c>
    </row>
    <row r="26">
      <c r="A26" s="5" t="inlineStr">
        <is>
          <t>Merchandiser</t>
        </is>
      </c>
      <c r="B26" s="11" t="n">
        <v>5600</v>
      </c>
      <c r="C26" s="11" t="n">
        <v>5300</v>
      </c>
      <c r="D26" s="12">
        <f>C26/B26</f>
        <v/>
      </c>
      <c r="E26" s="12">
        <f>(C26-B26)/B26</f>
        <v/>
      </c>
      <c r="F26" s="21" t="inlineStr">
        <is>
          <t>Poniżej rynku</t>
        </is>
      </c>
      <c r="G26" s="14" t="n">
        <v>6</v>
      </c>
      <c r="H26" s="15">
        <f>C26*G26</f>
        <v/>
      </c>
      <c r="I26" s="15">
        <f>IF(C26&lt;B26,(B26-C26)*G26,0)</f>
        <v/>
      </c>
    </row>
    <row r="27">
      <c r="A27" s="6" t="inlineStr">
        <is>
          <t>Kierownik Sklepu</t>
        </is>
      </c>
      <c r="B27" s="16" t="n">
        <v>7800</v>
      </c>
      <c r="C27" s="16" t="n">
        <v>8400</v>
      </c>
      <c r="D27" s="17">
        <f>C27/B27</f>
        <v/>
      </c>
      <c r="E27" s="17">
        <f>(C27-B27)/B27</f>
        <v/>
      </c>
      <c r="F27" s="18" t="inlineStr">
        <is>
          <t>Powyżej rynku</t>
        </is>
      </c>
      <c r="G27" s="19" t="n">
        <v>11</v>
      </c>
      <c r="H27" s="20">
        <f>C27*G27</f>
        <v/>
      </c>
      <c r="I27" s="20">
        <f>IF(C27&lt;B27,(B27-C27)*G27,0)</f>
        <v/>
      </c>
    </row>
    <row r="28">
      <c r="A28" s="5" t="inlineStr">
        <is>
          <t>Area Manager</t>
        </is>
      </c>
      <c r="B28" s="11" t="n">
        <v>12500</v>
      </c>
      <c r="C28" s="11" t="n">
        <v>11200</v>
      </c>
      <c r="D28" s="12">
        <f>C28/B28</f>
        <v/>
      </c>
      <c r="E28" s="12">
        <f>(C28-B28)/B28</f>
        <v/>
      </c>
      <c r="F28" s="21" t="inlineStr">
        <is>
          <t>Poniżej rynku</t>
        </is>
      </c>
      <c r="G28" s="14" t="n">
        <v>3</v>
      </c>
      <c r="H28" s="15">
        <f>C28*G28</f>
        <v/>
      </c>
      <c r="I28" s="15">
        <f>IF(C28&lt;B28,(B28-C28)*G28,0)</f>
        <v/>
      </c>
    </row>
    <row r="29">
      <c r="A29" s="22" t="inlineStr">
        <is>
          <t>Łączny koszt płac obszaru:</t>
        </is>
      </c>
      <c r="B29" s="67" t="n"/>
      <c r="C29" s="67" t="n"/>
      <c r="D29" s="67" t="n"/>
      <c r="E29" s="67" t="n"/>
      <c r="F29" s="67" t="n"/>
      <c r="G29" s="68" t="n"/>
      <c r="H29" s="71">
        <f>SUM(H24:H28)</f>
        <v/>
      </c>
      <c r="I29" s="68" t="n"/>
      <c r="J29" s="72" t="n"/>
    </row>
    <row r="31" ht="26" customHeight="1">
      <c r="A31" s="30" t="inlineStr">
        <is>
          <t>▌ OBSZAR: HQ (HR+FINANSE+IT+MARKETING)   | 75 pracowników</t>
        </is>
      </c>
      <c r="B31" s="67" t="n"/>
      <c r="C31" s="67" t="n"/>
      <c r="D31" s="67" t="n"/>
      <c r="E31" s="67" t="n"/>
      <c r="F31" s="67" t="n"/>
      <c r="G31" s="67" t="n"/>
      <c r="H31" s="67" t="n"/>
      <c r="I31" s="68" t="n"/>
    </row>
    <row r="32">
      <c r="A32" s="31" t="inlineStr">
        <is>
          <t>Stanowisko</t>
        </is>
      </c>
      <c r="B32" s="31" t="inlineStr">
        <is>
          <t>P50 Rynek</t>
        </is>
      </c>
      <c r="C32" s="31" t="inlineStr">
        <is>
          <t>Mediana Firmy</t>
        </is>
      </c>
      <c r="D32" s="31" t="inlineStr">
        <is>
          <t>Compa-Ratio</t>
        </is>
      </c>
      <c r="E32" s="31" t="inlineStr">
        <is>
          <t>Pozycja vs Rynek</t>
        </is>
      </c>
      <c r="F32" s="31" t="inlineStr">
        <is>
          <t>Ocena Pozycji</t>
        </is>
      </c>
      <c r="G32" s="31" t="inlineStr">
        <is>
          <t>Liczba Osób</t>
        </is>
      </c>
      <c r="H32" s="31" t="inlineStr">
        <is>
          <t>Łączny Koszt (PLN)</t>
        </is>
      </c>
      <c r="I32" s="31" t="inlineStr">
        <is>
          <t>Koszt Dost. (PLN)</t>
        </is>
      </c>
    </row>
    <row r="33">
      <c r="A33" s="5" t="inlineStr">
        <is>
          <t>Specjalista ds. Rekrutacji</t>
        </is>
      </c>
      <c r="B33" s="11" t="n">
        <v>6800</v>
      </c>
      <c r="C33" s="11" t="n">
        <v>7200</v>
      </c>
      <c r="D33" s="12">
        <f>C33/B33</f>
        <v/>
      </c>
      <c r="E33" s="12">
        <f>(C33-B33)/B33</f>
        <v/>
      </c>
      <c r="F33" s="18" t="inlineStr">
        <is>
          <t>Powyżej rynku</t>
        </is>
      </c>
      <c r="G33" s="14" t="n">
        <v>3</v>
      </c>
      <c r="H33" s="15">
        <f>C33*G33</f>
        <v/>
      </c>
      <c r="I33" s="15">
        <f>IF(C33&lt;B33,(B33-C33)*G33,0)</f>
        <v/>
      </c>
    </row>
    <row r="34">
      <c r="A34" s="6" t="inlineStr">
        <is>
          <t>Specjalista Kadr i Płac</t>
        </is>
      </c>
      <c r="B34" s="16" t="n">
        <v>7200</v>
      </c>
      <c r="C34" s="16" t="n">
        <v>6900</v>
      </c>
      <c r="D34" s="17">
        <f>C34/B34</f>
        <v/>
      </c>
      <c r="E34" s="17">
        <f>(C34-B34)/B34</f>
        <v/>
      </c>
      <c r="F34" s="21" t="inlineStr">
        <is>
          <t>Poniżej rynku</t>
        </is>
      </c>
      <c r="G34" s="19" t="n">
        <v>4</v>
      </c>
      <c r="H34" s="20">
        <f>C34*G34</f>
        <v/>
      </c>
      <c r="I34" s="20">
        <f>IF(C34&lt;B34,(B34-C34)*G34,0)</f>
        <v/>
      </c>
    </row>
    <row r="35">
      <c r="A35" s="5" t="inlineStr">
        <is>
          <t>Specjalista ds. Szkoleń</t>
        </is>
      </c>
      <c r="B35" s="11" t="n">
        <v>6900</v>
      </c>
      <c r="C35" s="11" t="n">
        <v>7100</v>
      </c>
      <c r="D35" s="12">
        <f>C35/B35</f>
        <v/>
      </c>
      <c r="E35" s="12">
        <f>(C35-B35)/B35</f>
        <v/>
      </c>
      <c r="F35" s="13" t="inlineStr">
        <is>
          <t>Na rynku</t>
        </is>
      </c>
      <c r="G35" s="14" t="n">
        <v>2</v>
      </c>
      <c r="H35" s="15">
        <f>C35*G35</f>
        <v/>
      </c>
      <c r="I35" s="15">
        <f>IF(C35&lt;B35,(B35-C35)*G35,0)</f>
        <v/>
      </c>
    </row>
    <row r="36">
      <c r="A36" s="6" t="inlineStr">
        <is>
          <t>HR Business Partner</t>
        </is>
      </c>
      <c r="B36" s="16" t="n">
        <v>11500</v>
      </c>
      <c r="C36" s="16" t="n">
        <v>10300</v>
      </c>
      <c r="D36" s="17">
        <f>C36/B36</f>
        <v/>
      </c>
      <c r="E36" s="17">
        <f>(C36-B36)/B36</f>
        <v/>
      </c>
      <c r="F36" s="21" t="inlineStr">
        <is>
          <t>Poniżej rynku</t>
        </is>
      </c>
      <c r="G36" s="19" t="n">
        <v>2</v>
      </c>
      <c r="H36" s="20">
        <f>C36*G36</f>
        <v/>
      </c>
      <c r="I36" s="20">
        <f>IF(C36&lt;B36,(B36-C36)*G36,0)</f>
        <v/>
      </c>
    </row>
    <row r="37">
      <c r="A37" s="5" t="inlineStr">
        <is>
          <t>Księgowy</t>
        </is>
      </c>
      <c r="B37" s="11" t="n">
        <v>6500</v>
      </c>
      <c r="C37" s="11" t="n">
        <v>6300</v>
      </c>
      <c r="D37" s="12">
        <f>C37/B37</f>
        <v/>
      </c>
      <c r="E37" s="12">
        <f>(C37-B37)/B37</f>
        <v/>
      </c>
      <c r="F37" s="21" t="inlineStr">
        <is>
          <t>Poniżej rynku</t>
        </is>
      </c>
      <c r="G37" s="14" t="n">
        <v>7</v>
      </c>
      <c r="H37" s="15">
        <f>C37*G37</f>
        <v/>
      </c>
      <c r="I37" s="15">
        <f>IF(C37&lt;B37,(B37-C37)*G37,0)</f>
        <v/>
      </c>
    </row>
    <row r="38">
      <c r="A38" s="6" t="inlineStr">
        <is>
          <t>Analityk Finansowy</t>
        </is>
      </c>
      <c r="B38" s="16" t="n">
        <v>8800</v>
      </c>
      <c r="C38" s="16" t="n">
        <v>8200</v>
      </c>
      <c r="D38" s="17">
        <f>C38/B38</f>
        <v/>
      </c>
      <c r="E38" s="17">
        <f>(C38-B38)/B38</f>
        <v/>
      </c>
      <c r="F38" s="21" t="inlineStr">
        <is>
          <t>Poniżej rynku</t>
        </is>
      </c>
      <c r="G38" s="19" t="n">
        <v>3</v>
      </c>
      <c r="H38" s="20">
        <f>C38*G38</f>
        <v/>
      </c>
      <c r="I38" s="20">
        <f>IF(C38&lt;B38,(B38-C38)*G38,0)</f>
        <v/>
      </c>
    </row>
    <row r="39">
      <c r="A39" s="5" t="inlineStr">
        <is>
          <t>Specjalista Controllingu</t>
        </is>
      </c>
      <c r="B39" s="11" t="n">
        <v>8200</v>
      </c>
      <c r="C39" s="11" t="n">
        <v>8900</v>
      </c>
      <c r="D39" s="12">
        <f>C39/B39</f>
        <v/>
      </c>
      <c r="E39" s="12">
        <f>(C39-B39)/B39</f>
        <v/>
      </c>
      <c r="F39" s="18" t="inlineStr">
        <is>
          <t>Powyżej rynku</t>
        </is>
      </c>
      <c r="G39" s="14" t="n">
        <v>3</v>
      </c>
      <c r="H39" s="15">
        <f>C39*G39</f>
        <v/>
      </c>
      <c r="I39" s="15">
        <f>IF(C39&lt;B39,(B39-C39)*G39,0)</f>
        <v/>
      </c>
    </row>
    <row r="40">
      <c r="A40" s="6" t="inlineStr">
        <is>
          <t>Główny Księgowy</t>
        </is>
      </c>
      <c r="B40" s="16" t="n">
        <v>14500</v>
      </c>
      <c r="C40" s="16" t="n">
        <v>15800</v>
      </c>
      <c r="D40" s="17">
        <f>C40/B40</f>
        <v/>
      </c>
      <c r="E40" s="17">
        <f>(C40-B40)/B40</f>
        <v/>
      </c>
      <c r="F40" s="18" t="inlineStr">
        <is>
          <t>Powyżej rynku</t>
        </is>
      </c>
      <c r="G40" s="19" t="n">
        <v>1</v>
      </c>
      <c r="H40" s="20">
        <f>C40*G40</f>
        <v/>
      </c>
      <c r="I40" s="20">
        <f>IF(C40&lt;B40,(B40-C40)*G40,0)</f>
        <v/>
      </c>
    </row>
    <row r="41">
      <c r="A41" s="5" t="inlineStr">
        <is>
          <t>Specjalista IT</t>
        </is>
      </c>
      <c r="B41" s="11" t="n">
        <v>6200</v>
      </c>
      <c r="C41" s="11" t="n">
        <v>6500</v>
      </c>
      <c r="D41" s="12">
        <f>C41/B41</f>
        <v/>
      </c>
      <c r="E41" s="12">
        <f>(C41-B41)/B41</f>
        <v/>
      </c>
      <c r="F41" s="18" t="inlineStr">
        <is>
          <t>Powyżej rynku</t>
        </is>
      </c>
      <c r="G41" s="14" t="n">
        <v>4</v>
      </c>
      <c r="H41" s="15">
        <f>C41*G41</f>
        <v/>
      </c>
      <c r="I41" s="15">
        <f>IF(C41&lt;B41,(B41-C41)*G41,0)</f>
        <v/>
      </c>
    </row>
    <row r="42">
      <c r="A42" s="6" t="inlineStr">
        <is>
          <t>Administrator Systemów</t>
        </is>
      </c>
      <c r="B42" s="16" t="n">
        <v>9500</v>
      </c>
      <c r="C42" s="16" t="n">
        <v>8900</v>
      </c>
      <c r="D42" s="17">
        <f>C42/B42</f>
        <v/>
      </c>
      <c r="E42" s="17">
        <f>(C42-B42)/B42</f>
        <v/>
      </c>
      <c r="F42" s="21" t="inlineStr">
        <is>
          <t>Poniżej rynku</t>
        </is>
      </c>
      <c r="G42" s="19" t="n">
        <v>2</v>
      </c>
      <c r="H42" s="20">
        <f>C42*G42</f>
        <v/>
      </c>
      <c r="I42" s="20">
        <f>IF(C42&lt;B42,(B42-C42)*G42,0)</f>
        <v/>
      </c>
    </row>
    <row r="43">
      <c r="A43" s="5" t="inlineStr">
        <is>
          <t>Kierownik IT</t>
        </is>
      </c>
      <c r="B43" s="11" t="n">
        <v>15000</v>
      </c>
      <c r="C43" s="11" t="n">
        <v>16200</v>
      </c>
      <c r="D43" s="12">
        <f>C43/B43</f>
        <v/>
      </c>
      <c r="E43" s="12">
        <f>(C43-B43)/B43</f>
        <v/>
      </c>
      <c r="F43" s="18" t="inlineStr">
        <is>
          <t>Powyżej rynku</t>
        </is>
      </c>
      <c r="G43" s="14" t="n">
        <v>1</v>
      </c>
      <c r="H43" s="15">
        <f>C43*G43</f>
        <v/>
      </c>
      <c r="I43" s="15">
        <f>IF(C43&lt;B43,(B43-C43)*G43,0)</f>
        <v/>
      </c>
    </row>
    <row r="44">
      <c r="A44" s="6" t="inlineStr">
        <is>
          <t>Specjalista ds. Marketingu</t>
        </is>
      </c>
      <c r="B44" s="16" t="n">
        <v>7000</v>
      </c>
      <c r="C44" s="16" t="n">
        <v>7600</v>
      </c>
      <c r="D44" s="17">
        <f>C44/B44</f>
        <v/>
      </c>
      <c r="E44" s="17">
        <f>(C44-B44)/B44</f>
        <v/>
      </c>
      <c r="F44" s="18" t="inlineStr">
        <is>
          <t>Powyżej rynku</t>
        </is>
      </c>
      <c r="G44" s="19" t="n">
        <v>3</v>
      </c>
      <c r="H44" s="20">
        <f>C44*G44</f>
        <v/>
      </c>
      <c r="I44" s="20">
        <f>IF(C44&lt;B44,(B44-C44)*G44,0)</f>
        <v/>
      </c>
    </row>
    <row r="45">
      <c r="A45" s="5" t="inlineStr">
        <is>
          <t>Kierownik Marketingu</t>
        </is>
      </c>
      <c r="B45" s="11" t="n">
        <v>13500</v>
      </c>
      <c r="C45" s="11" t="n">
        <v>12400</v>
      </c>
      <c r="D45" s="12">
        <f>C45/B45</f>
        <v/>
      </c>
      <c r="E45" s="12">
        <f>(C45-B45)/B45</f>
        <v/>
      </c>
      <c r="F45" s="21" t="inlineStr">
        <is>
          <t>Poniżej rynku</t>
        </is>
      </c>
      <c r="G45" s="14" t="n">
        <v>1</v>
      </c>
      <c r="H45" s="15">
        <f>C45*G45</f>
        <v/>
      </c>
      <c r="I45" s="15">
        <f>IF(C45&lt;B45,(B45-C45)*G45,0)</f>
        <v/>
      </c>
    </row>
    <row r="46">
      <c r="A46" s="22" t="inlineStr">
        <is>
          <t>Łączny koszt płac obszaru:</t>
        </is>
      </c>
      <c r="B46" s="67" t="n"/>
      <c r="C46" s="67" t="n"/>
      <c r="D46" s="67" t="n"/>
      <c r="E46" s="67" t="n"/>
      <c r="F46" s="67" t="n"/>
      <c r="G46" s="68" t="n"/>
      <c r="H46" s="71">
        <f>SUM(H33:H45)</f>
        <v/>
      </c>
      <c r="I46" s="68" t="n"/>
      <c r="J46" s="72" t="n"/>
    </row>
  </sheetData>
  <mergeCells count="14">
    <mergeCell ref="H11:I11"/>
    <mergeCell ref="H20:I20"/>
    <mergeCell ref="H29:I29"/>
    <mergeCell ref="A13:I13"/>
    <mergeCell ref="A2:K2"/>
    <mergeCell ref="A20:G20"/>
    <mergeCell ref="A31:I31"/>
    <mergeCell ref="A3:I3"/>
    <mergeCell ref="A29:G29"/>
    <mergeCell ref="A1:K1"/>
    <mergeCell ref="A46:G46"/>
    <mergeCell ref="H46:I46"/>
    <mergeCell ref="A22:I2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8" customHeight="1">
      <c r="A1" s="7" t="inlineStr">
        <is>
          <t>ANALIZA WYNAGRODZEŃ  |  300 pracowników, 4 obszary</t>
        </is>
      </c>
    </row>
    <row r="2" ht="18" customHeight="1">
      <c r="A2" s="8" t="inlineStr">
        <is>
          <t>Autor: Daniel Ciesielski  |  Narzędzia: Excel (AVERAGEIF, COUNTIFS, formuły tablicowe)</t>
        </is>
      </c>
    </row>
    <row r="3" ht="26" customHeight="1">
      <c r="A3" s="9" t="inlineStr">
        <is>
          <t>▌ OBSZAR: PRODUKCJA   | 71 pracowników</t>
        </is>
      </c>
      <c r="B3" s="67" t="n"/>
      <c r="C3" s="67" t="n"/>
      <c r="D3" s="67" t="n"/>
      <c r="E3" s="67" t="n"/>
      <c r="F3" s="67" t="n"/>
      <c r="G3" s="68" t="n"/>
    </row>
    <row r="4" ht="20" customHeight="1">
      <c r="A4" s="33" t="inlineStr">
        <is>
          <t>Statystyki opisowe</t>
        </is>
      </c>
      <c r="B4" s="67" t="n"/>
      <c r="C4" s="67" t="n"/>
      <c r="D4" s="67" t="n"/>
      <c r="E4" s="67" t="n"/>
      <c r="F4" s="67" t="n"/>
      <c r="G4" s="68" t="n"/>
    </row>
    <row r="5">
      <c r="A5" s="34" t="inlineStr">
        <is>
          <t>Liczba pracowników</t>
        </is>
      </c>
      <c r="B5" s="67" t="n"/>
      <c r="C5" s="67" t="n"/>
      <c r="D5" s="68" t="n"/>
      <c r="E5" s="4" t="n">
        <v>71</v>
      </c>
      <c r="F5" s="67" t="n"/>
      <c r="G5" s="68" t="n"/>
    </row>
    <row r="6">
      <c r="A6" s="35" t="inlineStr">
        <is>
          <t>Średnie wynagrodzenie</t>
        </is>
      </c>
      <c r="B6" s="67" t="n"/>
      <c r="C6" s="67" t="n"/>
      <c r="D6" s="68" t="n"/>
      <c r="E6" s="23" t="n">
        <v>5950</v>
      </c>
      <c r="F6" s="67" t="n"/>
      <c r="G6" s="68" t="n"/>
      <c r="H6" s="23">
        <f>E6-E7</f>
        <v/>
      </c>
      <c r="I6" s="69" t="inlineStr">
        <is>
          <t>← odchylenie Śr. od Mediany</t>
        </is>
      </c>
    </row>
    <row r="7">
      <c r="A7" s="34" t="inlineStr">
        <is>
          <t>Mediana wynagrodzenia</t>
        </is>
      </c>
      <c r="B7" s="67" t="n"/>
      <c r="C7" s="67" t="n"/>
      <c r="D7" s="68" t="n"/>
      <c r="E7" s="23" t="n">
        <v>5400</v>
      </c>
      <c r="F7" s="67" t="n"/>
      <c r="G7" s="68" t="n"/>
    </row>
    <row r="8">
      <c r="A8" s="35" t="inlineStr">
        <is>
          <t>P25 (dolny kwartyl)</t>
        </is>
      </c>
      <c r="B8" s="67" t="n"/>
      <c r="C8" s="67" t="n"/>
      <c r="D8" s="68" t="n"/>
      <c r="E8" s="23" t="n">
        <v>4700</v>
      </c>
      <c r="F8" s="67" t="n"/>
      <c r="G8" s="68" t="n"/>
    </row>
    <row r="9">
      <c r="A9" s="34" t="inlineStr">
        <is>
          <t>P75 (górny kwartyl)</t>
        </is>
      </c>
      <c r="B9" s="67" t="n"/>
      <c r="C9" s="67" t="n"/>
      <c r="D9" s="68" t="n"/>
      <c r="E9" s="23" t="n">
        <v>6600</v>
      </c>
      <c r="F9" s="67" t="n"/>
      <c r="G9" s="68" t="n"/>
      <c r="H9" s="23">
        <f>E9-E8</f>
        <v/>
      </c>
      <c r="I9" s="69" t="inlineStr">
        <is>
          <t>← rozstęp P75-P25</t>
        </is>
      </c>
    </row>
    <row r="10">
      <c r="A10" s="35" t="inlineStr">
        <is>
          <t>Średnia premia (%)</t>
        </is>
      </c>
      <c r="B10" s="67" t="n"/>
      <c r="C10" s="67" t="n"/>
      <c r="D10" s="68" t="n"/>
      <c r="E10" s="36" t="n">
        <v>0.052</v>
      </c>
      <c r="F10" s="67" t="n"/>
      <c r="G10" s="68" t="n"/>
    </row>
    <row r="11">
      <c r="A11" s="34" t="inlineStr">
        <is>
          <t>Rotacja roczna (%)</t>
        </is>
      </c>
      <c r="B11" s="67" t="n"/>
      <c r="C11" s="67" t="n"/>
      <c r="D11" s="68" t="n"/>
      <c r="E11" s="37" t="n">
        <v>0.28</v>
      </c>
      <c r="F11" s="67" t="n"/>
      <c r="G11" s="68" t="n"/>
    </row>
    <row r="12" ht="20" customHeight="1">
      <c r="A12" s="33" t="inlineStr">
        <is>
          <t>Kluczowe obserwacje dla obszaru</t>
        </is>
      </c>
      <c r="B12" s="67" t="n"/>
      <c r="C12" s="67" t="n"/>
      <c r="D12" s="67" t="n"/>
      <c r="E12" s="67" t="n"/>
      <c r="F12" s="67" t="n"/>
      <c r="G12" s="68" t="n"/>
    </row>
    <row r="13" ht="28" customHeight="1">
      <c r="A13" s="5" t="inlineStr">
        <is>
          <t>• Najniższa mediana spośród działów wsparcia, wyższa niż retail — typowe dla polskiego rynku produkcyjnego.</t>
        </is>
      </c>
      <c r="B13" s="67" t="n"/>
      <c r="C13" s="67" t="n"/>
      <c r="D13" s="67" t="n"/>
      <c r="E13" s="67" t="n"/>
      <c r="F13" s="67" t="n"/>
      <c r="G13" s="68" t="n"/>
    </row>
    <row r="14" ht="28" customHeight="1">
      <c r="A14" s="6" t="inlineStr">
        <is>
          <t>• Rotacja 28% — główne ryzyko HR; rekomendacja: przegląd stawek G1 i premia frekwencyjna.</t>
        </is>
      </c>
      <c r="B14" s="67" t="n"/>
      <c r="C14" s="67" t="n"/>
      <c r="D14" s="67" t="n"/>
      <c r="E14" s="67" t="n"/>
      <c r="F14" s="67" t="n"/>
      <c r="G14" s="68" t="n"/>
    </row>
    <row r="15" ht="28" customHeight="1">
      <c r="A15" s="5" t="inlineStr">
        <is>
          <t>• Rozpiętość P25–P75: 1 900 PLN — płaska struktura, ograniczona ścieżka wzrostu płac bez awansu.</t>
        </is>
      </c>
      <c r="B15" s="67" t="n"/>
      <c r="C15" s="67" t="n"/>
      <c r="D15" s="67" t="n"/>
      <c r="E15" s="67" t="n"/>
      <c r="F15" s="67" t="n"/>
      <c r="G15" s="68" t="n"/>
    </row>
    <row r="18" ht="26" customHeight="1">
      <c r="A18" s="24" t="inlineStr">
        <is>
          <t>▌ OBSZAR: MAGAZYN/LOGISTYKA   | 58 pracowników</t>
        </is>
      </c>
      <c r="B18" s="67" t="n"/>
      <c r="C18" s="67" t="n"/>
      <c r="D18" s="67" t="n"/>
      <c r="E18" s="67" t="n"/>
      <c r="F18" s="67" t="n"/>
      <c r="G18" s="68" t="n"/>
    </row>
    <row r="19" ht="20" customHeight="1">
      <c r="A19" s="38" t="inlineStr">
        <is>
          <t>Statystyki opisowe</t>
        </is>
      </c>
      <c r="B19" s="67" t="n"/>
      <c r="C19" s="67" t="n"/>
      <c r="D19" s="67" t="n"/>
      <c r="E19" s="67" t="n"/>
      <c r="F19" s="67" t="n"/>
      <c r="G19" s="68" t="n"/>
    </row>
    <row r="20">
      <c r="A20" s="34" t="inlineStr">
        <is>
          <t>Liczba pracowników</t>
        </is>
      </c>
      <c r="B20" s="67" t="n"/>
      <c r="C20" s="67" t="n"/>
      <c r="D20" s="68" t="n"/>
      <c r="E20" s="39" t="n">
        <v>58</v>
      </c>
      <c r="F20" s="67" t="n"/>
      <c r="G20" s="68" t="n"/>
    </row>
    <row r="21">
      <c r="A21" s="35" t="inlineStr">
        <is>
          <t>Średnie wynagrodzenie</t>
        </is>
      </c>
      <c r="B21" s="67" t="n"/>
      <c r="C21" s="67" t="n"/>
      <c r="D21" s="68" t="n"/>
      <c r="E21" s="40" t="n">
        <v>5480</v>
      </c>
      <c r="F21" s="67" t="n"/>
      <c r="G21" s="68" t="n"/>
      <c r="H21" s="23">
        <f>E21-E22</f>
        <v/>
      </c>
      <c r="I21" s="69" t="inlineStr">
        <is>
          <t>← odchylenie Śr. od Mediany</t>
        </is>
      </c>
    </row>
    <row r="22">
      <c r="A22" s="34" t="inlineStr">
        <is>
          <t>Mediana wynagrodzenia</t>
        </is>
      </c>
      <c r="B22" s="67" t="n"/>
      <c r="C22" s="67" t="n"/>
      <c r="D22" s="68" t="n"/>
      <c r="E22" s="40" t="n">
        <v>5100</v>
      </c>
      <c r="F22" s="67" t="n"/>
      <c r="G22" s="68" t="n"/>
    </row>
    <row r="23">
      <c r="A23" s="35" t="inlineStr">
        <is>
          <t>P25 (dolny kwartyl)</t>
        </is>
      </c>
      <c r="B23" s="67" t="n"/>
      <c r="C23" s="67" t="n"/>
      <c r="D23" s="68" t="n"/>
      <c r="E23" s="40" t="n">
        <v>4600</v>
      </c>
      <c r="F23" s="67" t="n"/>
      <c r="G23" s="68" t="n"/>
    </row>
    <row r="24">
      <c r="A24" s="34" t="inlineStr">
        <is>
          <t>P75 (górny kwartyl)</t>
        </is>
      </c>
      <c r="B24" s="67" t="n"/>
      <c r="C24" s="67" t="n"/>
      <c r="D24" s="68" t="n"/>
      <c r="E24" s="40" t="n">
        <v>6100</v>
      </c>
      <c r="F24" s="67" t="n"/>
      <c r="G24" s="68" t="n"/>
      <c r="H24" s="23">
        <f>E24-E23</f>
        <v/>
      </c>
      <c r="I24" s="69" t="inlineStr">
        <is>
          <t>← rozstęp P75-P25</t>
        </is>
      </c>
    </row>
    <row r="25">
      <c r="A25" s="35" t="inlineStr">
        <is>
          <t>Średnia premia (%)</t>
        </is>
      </c>
      <c r="B25" s="67" t="n"/>
      <c r="C25" s="67" t="n"/>
      <c r="D25" s="68" t="n"/>
      <c r="E25" s="41" t="n">
        <v>0.048</v>
      </c>
      <c r="F25" s="67" t="n"/>
      <c r="G25" s="68" t="n"/>
    </row>
    <row r="26">
      <c r="A26" s="34" t="inlineStr">
        <is>
          <t>Rotacja roczna (%)</t>
        </is>
      </c>
      <c r="B26" s="67" t="n"/>
      <c r="C26" s="67" t="n"/>
      <c r="D26" s="68" t="n"/>
      <c r="E26" s="42" t="n">
        <v>0.22</v>
      </c>
      <c r="F26" s="67" t="n"/>
      <c r="G26" s="68" t="n"/>
    </row>
    <row r="27" ht="20" customHeight="1">
      <c r="A27" s="38" t="inlineStr">
        <is>
          <t>Kluczowe obserwacje dla obszaru</t>
        </is>
      </c>
      <c r="B27" s="67" t="n"/>
      <c r="C27" s="67" t="n"/>
      <c r="D27" s="67" t="n"/>
      <c r="E27" s="67" t="n"/>
      <c r="F27" s="67" t="n"/>
      <c r="G27" s="68" t="n"/>
    </row>
    <row r="28" ht="28" customHeight="1">
      <c r="A28" s="5" t="inlineStr">
        <is>
          <t>• Mediana 5 100 PLN powyżej mediany retailu — odzwierciedla rynek lokalny i rywalizację z e-commerce.</t>
        </is>
      </c>
      <c r="B28" s="67" t="n"/>
      <c r="C28" s="67" t="n"/>
      <c r="D28" s="67" t="n"/>
      <c r="E28" s="67" t="n"/>
      <c r="F28" s="67" t="n"/>
      <c r="G28" s="68" t="n"/>
    </row>
    <row r="29" ht="28" customHeight="1">
      <c r="A29" s="6" t="inlineStr">
        <is>
          <t>• Rotacja 22% — niższa niż produkcja i retail, ale nadal wysoka w skali roku.</t>
        </is>
      </c>
      <c r="B29" s="67" t="n"/>
      <c r="C29" s="67" t="n"/>
      <c r="D29" s="67" t="n"/>
      <c r="E29" s="67" t="n"/>
      <c r="F29" s="67" t="n"/>
      <c r="G29" s="68" t="n"/>
    </row>
    <row r="30" ht="28" customHeight="1">
      <c r="A30" s="5" t="inlineStr">
        <is>
          <t>• Premia 4.8% — najniższa spośród obszarów; rekomendacja: premia za SLA terminowości.</t>
        </is>
      </c>
      <c r="B30" s="67" t="n"/>
      <c r="C30" s="67" t="n"/>
      <c r="D30" s="67" t="n"/>
      <c r="E30" s="67" t="n"/>
      <c r="F30" s="67" t="n"/>
      <c r="G30" s="68" t="n"/>
    </row>
    <row r="33" ht="26" customHeight="1">
      <c r="A33" s="27" t="inlineStr">
        <is>
          <t>▌ OBSZAR: SPRZEDAŻ DETALICZNA   | 96 pracowników</t>
        </is>
      </c>
      <c r="B33" s="67" t="n"/>
      <c r="C33" s="67" t="n"/>
      <c r="D33" s="67" t="n"/>
      <c r="E33" s="67" t="n"/>
      <c r="F33" s="67" t="n"/>
      <c r="G33" s="68" t="n"/>
    </row>
    <row r="34" ht="20" customHeight="1">
      <c r="A34" s="43" t="inlineStr">
        <is>
          <t>Statystyki opisowe</t>
        </is>
      </c>
      <c r="B34" s="67" t="n"/>
      <c r="C34" s="67" t="n"/>
      <c r="D34" s="67" t="n"/>
      <c r="E34" s="67" t="n"/>
      <c r="F34" s="67" t="n"/>
      <c r="G34" s="68" t="n"/>
    </row>
    <row r="35">
      <c r="A35" s="34" t="inlineStr">
        <is>
          <t>Liczba pracowników</t>
        </is>
      </c>
      <c r="B35" s="67" t="n"/>
      <c r="C35" s="67" t="n"/>
      <c r="D35" s="68" t="n"/>
      <c r="E35" s="44" t="n">
        <v>96</v>
      </c>
      <c r="F35" s="67" t="n"/>
      <c r="G35" s="68" t="n"/>
    </row>
    <row r="36">
      <c r="A36" s="35" t="inlineStr">
        <is>
          <t>Średnie wynagrodzenie</t>
        </is>
      </c>
      <c r="B36" s="67" t="n"/>
      <c r="C36" s="67" t="n"/>
      <c r="D36" s="68" t="n"/>
      <c r="E36" s="45" t="n">
        <v>5180</v>
      </c>
      <c r="F36" s="67" t="n"/>
      <c r="G36" s="68" t="n"/>
      <c r="H36" s="23">
        <f>E36-E37</f>
        <v/>
      </c>
      <c r="I36" s="69" t="inlineStr">
        <is>
          <t>← odchylenie Śr. od Mediany</t>
        </is>
      </c>
    </row>
    <row r="37">
      <c r="A37" s="34" t="inlineStr">
        <is>
          <t>Mediana wynagrodzenia</t>
        </is>
      </c>
      <c r="B37" s="67" t="n"/>
      <c r="C37" s="67" t="n"/>
      <c r="D37" s="68" t="n"/>
      <c r="E37" s="45" t="n">
        <v>4700</v>
      </c>
      <c r="F37" s="67" t="n"/>
      <c r="G37" s="68" t="n"/>
    </row>
    <row r="38">
      <c r="A38" s="35" t="inlineStr">
        <is>
          <t>P25 (dolny kwartyl)</t>
        </is>
      </c>
      <c r="B38" s="67" t="n"/>
      <c r="C38" s="67" t="n"/>
      <c r="D38" s="68" t="n"/>
      <c r="E38" s="45" t="n">
        <v>4400</v>
      </c>
      <c r="F38" s="67" t="n"/>
      <c r="G38" s="68" t="n"/>
    </row>
    <row r="39">
      <c r="A39" s="34" t="inlineStr">
        <is>
          <t>P75 (górny kwartyl)</t>
        </is>
      </c>
      <c r="B39" s="67" t="n"/>
      <c r="C39" s="67" t="n"/>
      <c r="D39" s="68" t="n"/>
      <c r="E39" s="45" t="n">
        <v>5600</v>
      </c>
      <c r="F39" s="67" t="n"/>
      <c r="G39" s="68" t="n"/>
      <c r="H39" s="23">
        <f>E39-E38</f>
        <v/>
      </c>
      <c r="I39" s="69" t="inlineStr">
        <is>
          <t>← rozstęp P75-P25</t>
        </is>
      </c>
    </row>
    <row r="40">
      <c r="A40" s="35" t="inlineStr">
        <is>
          <t>Średnia premia (%)</t>
        </is>
      </c>
      <c r="B40" s="67" t="n"/>
      <c r="C40" s="67" t="n"/>
      <c r="D40" s="68" t="n"/>
      <c r="E40" s="46" t="n">
        <v>0.061</v>
      </c>
      <c r="F40" s="67" t="n"/>
      <c r="G40" s="68" t="n"/>
    </row>
    <row r="41">
      <c r="A41" s="34" t="inlineStr">
        <is>
          <t>Rotacja roczna (%)</t>
        </is>
      </c>
      <c r="B41" s="67" t="n"/>
      <c r="C41" s="67" t="n"/>
      <c r="D41" s="68" t="n"/>
      <c r="E41" s="47" t="n">
        <v>0.34</v>
      </c>
      <c r="F41" s="67" t="n"/>
      <c r="G41" s="68" t="n"/>
    </row>
    <row r="42" ht="20" customHeight="1">
      <c r="A42" s="43" t="inlineStr">
        <is>
          <t>Kluczowe obserwacje dla obszaru</t>
        </is>
      </c>
      <c r="B42" s="67" t="n"/>
      <c r="C42" s="67" t="n"/>
      <c r="D42" s="67" t="n"/>
      <c r="E42" s="67" t="n"/>
      <c r="F42" s="67" t="n"/>
      <c r="G42" s="68" t="n"/>
    </row>
    <row r="43" ht="28" customHeight="1">
      <c r="A43" s="5" t="inlineStr">
        <is>
          <t>• Najniższa mediana (4 700 PLN) przy najwyższej rotacji (34%) — korelacja typowa dla retailu.</t>
        </is>
      </c>
      <c r="B43" s="67" t="n"/>
      <c r="C43" s="67" t="n"/>
      <c r="D43" s="67" t="n"/>
      <c r="E43" s="67" t="n"/>
      <c r="F43" s="67" t="n"/>
      <c r="G43" s="68" t="n"/>
    </row>
    <row r="44" ht="28" customHeight="1">
      <c r="A44" s="6" t="inlineStr">
        <is>
          <t>• Największa liczba pracowników (96) — kluczowy obszar dla kosztów płacowych całej firmy.</t>
        </is>
      </c>
      <c r="B44" s="67" t="n"/>
      <c r="C44" s="67" t="n"/>
      <c r="D44" s="67" t="n"/>
      <c r="E44" s="67" t="n"/>
      <c r="F44" s="67" t="n"/>
      <c r="G44" s="68" t="n"/>
    </row>
    <row r="45" ht="28" customHeight="1">
      <c r="A45" s="5" t="inlineStr">
        <is>
          <t>• Zmienność sprzedaży sklepu do sklepu uzasadnia regionalną korektę widełek G1.</t>
        </is>
      </c>
      <c r="B45" s="67" t="n"/>
      <c r="C45" s="67" t="n"/>
      <c r="D45" s="67" t="n"/>
      <c r="E45" s="67" t="n"/>
      <c r="F45" s="67" t="n"/>
      <c r="G45" s="68" t="n"/>
    </row>
    <row r="48" ht="26" customHeight="1">
      <c r="A48" s="30" t="inlineStr">
        <is>
          <t>▌ OBSZAR: HQ (HR+FINANSE+IT+MARKETING)   | 75 pracowników</t>
        </is>
      </c>
      <c r="B48" s="67" t="n"/>
      <c r="C48" s="67" t="n"/>
      <c r="D48" s="67" t="n"/>
      <c r="E48" s="67" t="n"/>
      <c r="F48" s="67" t="n"/>
      <c r="G48" s="68" t="n"/>
    </row>
    <row r="49" ht="20" customHeight="1">
      <c r="A49" s="48" t="inlineStr">
        <is>
          <t>Statystyki opisowe</t>
        </is>
      </c>
      <c r="B49" s="67" t="n"/>
      <c r="C49" s="67" t="n"/>
      <c r="D49" s="67" t="n"/>
      <c r="E49" s="67" t="n"/>
      <c r="F49" s="67" t="n"/>
      <c r="G49" s="68" t="n"/>
    </row>
    <row r="50">
      <c r="A50" s="34" t="inlineStr">
        <is>
          <t>Liczba pracowników</t>
        </is>
      </c>
      <c r="B50" s="67" t="n"/>
      <c r="C50" s="67" t="n"/>
      <c r="D50" s="68" t="n"/>
      <c r="E50" s="49" t="n">
        <v>75</v>
      </c>
      <c r="F50" s="67" t="n"/>
      <c r="G50" s="68" t="n"/>
    </row>
    <row r="51">
      <c r="A51" s="35" t="inlineStr">
        <is>
          <t>Średnie wynagrodzenie</t>
        </is>
      </c>
      <c r="B51" s="67" t="n"/>
      <c r="C51" s="67" t="n"/>
      <c r="D51" s="68" t="n"/>
      <c r="E51" s="50" t="n">
        <v>9420</v>
      </c>
      <c r="F51" s="67" t="n"/>
      <c r="G51" s="68" t="n"/>
      <c r="H51" s="23">
        <f>E51-E52</f>
        <v/>
      </c>
      <c r="I51" s="69" t="inlineStr">
        <is>
          <t>← odchylenie Śr. od Mediany</t>
        </is>
      </c>
    </row>
    <row r="52">
      <c r="A52" s="34" t="inlineStr">
        <is>
          <t>Mediana wynagrodzenia</t>
        </is>
      </c>
      <c r="B52" s="67" t="n"/>
      <c r="C52" s="67" t="n"/>
      <c r="D52" s="68" t="n"/>
      <c r="E52" s="50" t="n">
        <v>8200</v>
      </c>
      <c r="F52" s="67" t="n"/>
      <c r="G52" s="68" t="n"/>
    </row>
    <row r="53">
      <c r="A53" s="35" t="inlineStr">
        <is>
          <t>P25 (dolny kwartyl)</t>
        </is>
      </c>
      <c r="B53" s="67" t="n"/>
      <c r="C53" s="67" t="n"/>
      <c r="D53" s="68" t="n"/>
      <c r="E53" s="50" t="n">
        <v>6800</v>
      </c>
      <c r="F53" s="67" t="n"/>
      <c r="G53" s="68" t="n"/>
    </row>
    <row r="54">
      <c r="A54" s="34" t="inlineStr">
        <is>
          <t>P75 (górny kwartyl)</t>
        </is>
      </c>
      <c r="B54" s="67" t="n"/>
      <c r="C54" s="67" t="n"/>
      <c r="D54" s="68" t="n"/>
      <c r="E54" s="50" t="n">
        <v>11500</v>
      </c>
      <c r="F54" s="67" t="n"/>
      <c r="G54" s="68" t="n"/>
      <c r="H54" s="23">
        <f>E54-E53</f>
        <v/>
      </c>
      <c r="I54" s="69" t="inlineStr">
        <is>
          <t>← rozstęp P75-P25</t>
        </is>
      </c>
    </row>
    <row r="55">
      <c r="A55" s="35" t="inlineStr">
        <is>
          <t>Średnia premia (%)</t>
        </is>
      </c>
      <c r="B55" s="67" t="n"/>
      <c r="C55" s="67" t="n"/>
      <c r="D55" s="68" t="n"/>
      <c r="E55" s="51" t="n">
        <v>0.08400000000000001</v>
      </c>
      <c r="F55" s="67" t="n"/>
      <c r="G55" s="68" t="n"/>
    </row>
    <row r="56">
      <c r="A56" s="34" t="inlineStr">
        <is>
          <t>Rotacja roczna (%)</t>
        </is>
      </c>
      <c r="B56" s="67" t="n"/>
      <c r="C56" s="67" t="n"/>
      <c r="D56" s="68" t="n"/>
      <c r="E56" s="52" t="n">
        <v>0.08</v>
      </c>
      <c r="F56" s="67" t="n"/>
      <c r="G56" s="68" t="n"/>
    </row>
    <row r="57" ht="20" customHeight="1">
      <c r="A57" s="48" t="inlineStr">
        <is>
          <t>Kluczowe obserwacje dla obszaru</t>
        </is>
      </c>
      <c r="B57" s="67" t="n"/>
      <c r="C57" s="67" t="n"/>
      <c r="D57" s="67" t="n"/>
      <c r="E57" s="67" t="n"/>
      <c r="F57" s="67" t="n"/>
      <c r="G57" s="68" t="n"/>
    </row>
    <row r="58" ht="28" customHeight="1">
      <c r="A58" s="5" t="inlineStr">
        <is>
          <t>• Najwyższa mediana (8 200 PLN) i najniższa rotacja (8%) — typowy profil działów wsparcia.</t>
        </is>
      </c>
      <c r="B58" s="67" t="n"/>
      <c r="C58" s="67" t="n"/>
      <c r="D58" s="67" t="n"/>
      <c r="E58" s="67" t="n"/>
      <c r="F58" s="67" t="n"/>
      <c r="G58" s="68" t="n"/>
    </row>
    <row r="59" ht="28" customHeight="1">
      <c r="A59" s="6" t="inlineStr">
        <is>
          <t>• Duże rozpiętości P25–P75 (4 700 PLN) odzwierciedlają zróżnicowanie stanowisk (Helpdesk vs Kierownik IT).</t>
        </is>
      </c>
      <c r="B59" s="67" t="n"/>
      <c r="C59" s="67" t="n"/>
      <c r="D59" s="67" t="n"/>
      <c r="E59" s="67" t="n"/>
      <c r="F59" s="67" t="n"/>
      <c r="G59" s="68" t="n"/>
    </row>
    <row r="60" ht="28" customHeight="1">
      <c r="A60" s="5" t="inlineStr">
        <is>
          <t>• Premia 8.4% — najwyższa spośród obszarów; rekomendacja: powiązanie z KPI projektowymi (MBO).</t>
        </is>
      </c>
      <c r="B60" s="67" t="n"/>
      <c r="C60" s="67" t="n"/>
      <c r="D60" s="67" t="n"/>
      <c r="E60" s="67" t="n"/>
      <c r="F60" s="67" t="n"/>
      <c r="G60" s="68" t="n"/>
    </row>
  </sheetData>
  <mergeCells count="82">
    <mergeCell ref="A5:D5"/>
    <mergeCell ref="A20:D20"/>
    <mergeCell ref="E40:G40"/>
    <mergeCell ref="A19:G19"/>
    <mergeCell ref="A28:G28"/>
    <mergeCell ref="A48:G48"/>
    <mergeCell ref="E26:G26"/>
    <mergeCell ref="A30:G30"/>
    <mergeCell ref="A24:D24"/>
    <mergeCell ref="A59:G59"/>
    <mergeCell ref="A51:D51"/>
    <mergeCell ref="E7:G7"/>
    <mergeCell ref="A45:G45"/>
    <mergeCell ref="A54:D54"/>
    <mergeCell ref="A2:K2"/>
    <mergeCell ref="A7:D7"/>
    <mergeCell ref="A41:D41"/>
    <mergeCell ref="A56:D56"/>
    <mergeCell ref="E35:G35"/>
    <mergeCell ref="E20:G20"/>
    <mergeCell ref="A22:D22"/>
    <mergeCell ref="A53:D53"/>
    <mergeCell ref="A35:D35"/>
    <mergeCell ref="E6:G6"/>
    <mergeCell ref="A9:D9"/>
    <mergeCell ref="A34:G34"/>
    <mergeCell ref="A11:D11"/>
    <mergeCell ref="A49:G49"/>
    <mergeCell ref="E54:G54"/>
    <mergeCell ref="E41:G41"/>
    <mergeCell ref="E38:G38"/>
    <mergeCell ref="E56:G56"/>
    <mergeCell ref="E24:G24"/>
    <mergeCell ref="A3:G3"/>
    <mergeCell ref="A26:D26"/>
    <mergeCell ref="E8:G8"/>
    <mergeCell ref="A12:G12"/>
    <mergeCell ref="A57:G57"/>
    <mergeCell ref="E10:G10"/>
    <mergeCell ref="A14:G14"/>
    <mergeCell ref="A8:D8"/>
    <mergeCell ref="A4:G4"/>
    <mergeCell ref="A52:D52"/>
    <mergeCell ref="E9:G9"/>
    <mergeCell ref="A43:G43"/>
    <mergeCell ref="A10:D10"/>
    <mergeCell ref="A1:K1"/>
    <mergeCell ref="A58:G58"/>
    <mergeCell ref="E36:G36"/>
    <mergeCell ref="E11:G11"/>
    <mergeCell ref="A39:D39"/>
    <mergeCell ref="A60:G60"/>
    <mergeCell ref="A36:D36"/>
    <mergeCell ref="E22:G22"/>
    <mergeCell ref="E37:G37"/>
    <mergeCell ref="E21:G21"/>
    <mergeCell ref="A37:D37"/>
    <mergeCell ref="A18:G18"/>
    <mergeCell ref="E23:G23"/>
    <mergeCell ref="A21:D21"/>
    <mergeCell ref="E51:G51"/>
    <mergeCell ref="A23:D23"/>
    <mergeCell ref="A38:D38"/>
    <mergeCell ref="A29:G29"/>
    <mergeCell ref="A13:G13"/>
    <mergeCell ref="A40:D40"/>
    <mergeCell ref="A44:G44"/>
    <mergeCell ref="A15:G15"/>
    <mergeCell ref="E25:G25"/>
    <mergeCell ref="A6:D6"/>
    <mergeCell ref="E53:G53"/>
    <mergeCell ref="A25:D25"/>
    <mergeCell ref="E50:G50"/>
    <mergeCell ref="E55:G55"/>
    <mergeCell ref="E52:G52"/>
    <mergeCell ref="A27:G27"/>
    <mergeCell ref="E5:G5"/>
    <mergeCell ref="A50:D50"/>
    <mergeCell ref="E39:G39"/>
    <mergeCell ref="A55:D55"/>
    <mergeCell ref="A33:G33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20" customWidth="1" min="9" max="9"/>
    <col width="16" customWidth="1" min="10" max="10"/>
  </cols>
  <sheetData>
    <row r="1" ht="38" customHeight="1">
      <c r="A1" s="7" t="inlineStr">
        <is>
          <t>PAY BANDS &amp; RANGE PENETRATION  |  Widełki płacowe, 4 obszary</t>
        </is>
      </c>
    </row>
    <row r="2" ht="18" customHeight="1">
      <c r="A2" s="8" t="inlineStr">
        <is>
          <t>Autor: Daniel Ciesielski  |  Narzędzia: Excel  |  Analiza underpaid/overpaid per grade i obszar</t>
        </is>
      </c>
    </row>
    <row r="3" ht="26" customHeight="1">
      <c r="A3" s="9" t="inlineStr">
        <is>
          <t>▌ OBSZAR: PRODUKCJA   | Underpaid: 3  |  Overpaid: 2  |  Śr. Range Penetration: ~46%</t>
        </is>
      </c>
      <c r="B3" s="67" t="n"/>
      <c r="C3" s="67" t="n"/>
      <c r="D3" s="67" t="n"/>
      <c r="E3" s="67" t="n"/>
      <c r="F3" s="67" t="n"/>
      <c r="G3" s="67" t="n"/>
      <c r="H3" s="68" t="n"/>
    </row>
    <row r="4">
      <c r="A4" s="10" t="inlineStr">
        <is>
          <t>Grade</t>
        </is>
      </c>
      <c r="B4" s="10" t="inlineStr">
        <is>
          <t>Min Widełek (PLN)</t>
        </is>
      </c>
      <c r="C4" s="10" t="inlineStr">
        <is>
          <t>Max Widełek (PLN)</t>
        </is>
      </c>
      <c r="D4" s="10" t="inlineStr">
        <is>
          <t>Liczba Pracowników</t>
        </is>
      </c>
      <c r="E4" s="10" t="inlineStr">
        <is>
          <t>% w obszarze</t>
        </is>
      </c>
      <c r="F4" s="10" t="inlineStr">
        <is>
          <t>Underpaid</t>
        </is>
      </c>
      <c r="G4" s="10" t="inlineStr">
        <is>
          <t>Overpaid</t>
        </is>
      </c>
      <c r="H4" s="10" t="inlineStr">
        <is>
          <t>Range Penetration</t>
        </is>
      </c>
      <c r="I4" s="70" t="inlineStr">
        <is>
          <t>Szerokość widełek (PLN)</t>
        </is>
      </c>
      <c r="J4" s="70" t="inlineStr">
        <is>
          <t>Midpoint (PLN)</t>
        </is>
      </c>
    </row>
    <row r="5">
      <c r="A5" s="53" t="inlineStr">
        <is>
          <t>G1 — Operacyjny</t>
        </is>
      </c>
      <c r="B5" s="11" t="n">
        <v>4200</v>
      </c>
      <c r="C5" s="11" t="n">
        <v>5500</v>
      </c>
      <c r="D5" s="14" t="n">
        <v>38</v>
      </c>
      <c r="E5" s="54" t="n">
        <v>0.54</v>
      </c>
      <c r="F5" s="55" t="n">
        <v>1</v>
      </c>
      <c r="G5" s="56" t="n">
        <v>0</v>
      </c>
      <c r="H5" s="14" t="inlineStr">
        <is>
          <t>~35%</t>
        </is>
      </c>
      <c r="I5" s="23">
        <f>C5-B5</f>
        <v/>
      </c>
      <c r="J5" s="15">
        <f>(B5+C5)/2</f>
        <v/>
      </c>
    </row>
    <row r="6">
      <c r="A6" s="57" t="inlineStr">
        <is>
          <t>G2 — Specjalista</t>
        </is>
      </c>
      <c r="B6" s="16" t="n">
        <v>5501</v>
      </c>
      <c r="C6" s="16" t="n">
        <v>8000</v>
      </c>
      <c r="D6" s="19" t="n">
        <v>26</v>
      </c>
      <c r="E6" s="58" t="n">
        <v>0.37</v>
      </c>
      <c r="F6" s="56" t="n">
        <v>0</v>
      </c>
      <c r="G6" s="56" t="n">
        <v>0</v>
      </c>
      <c r="H6" s="19" t="inlineStr">
        <is>
          <t>~52%</t>
        </is>
      </c>
      <c r="I6" s="23">
        <f>C6-B6</f>
        <v/>
      </c>
      <c r="J6" s="20">
        <f>(B6+C6)/2</f>
        <v/>
      </c>
    </row>
    <row r="7">
      <c r="A7" s="53" t="inlineStr">
        <is>
          <t>G3 — Kierownik</t>
        </is>
      </c>
      <c r="B7" s="11" t="n">
        <v>8001</v>
      </c>
      <c r="C7" s="11" t="n">
        <v>14500</v>
      </c>
      <c r="D7" s="14" t="n">
        <v>7</v>
      </c>
      <c r="E7" s="54" t="n">
        <v>0.1</v>
      </c>
      <c r="F7" s="56" t="n">
        <v>0</v>
      </c>
      <c r="G7" s="21" t="n">
        <v>1</v>
      </c>
      <c r="H7" s="14" t="inlineStr">
        <is>
          <t>~68%</t>
        </is>
      </c>
      <c r="I7" s="23">
        <f>C7-B7</f>
        <v/>
      </c>
      <c r="J7" s="15">
        <f>(B7+C7)/2</f>
        <v/>
      </c>
    </row>
    <row r="8" ht="34" customHeight="1">
      <c r="A8" s="59" t="inlineStr">
        <is>
          <t>⚑ Rekomendacja: priorytetowy przegląd MIN widełek G1 — stawki startowe poniżej rynku są głównym czynnikiem 28% rotacji.</t>
        </is>
      </c>
      <c r="B8" s="67" t="n"/>
      <c r="C8" s="67" t="n"/>
      <c r="D8" s="67" t="n"/>
      <c r="E8" s="67" t="n"/>
      <c r="F8" s="67" t="n"/>
      <c r="G8" s="67" t="n"/>
      <c r="H8" s="68" t="n"/>
    </row>
    <row r="10" ht="26" customHeight="1">
      <c r="A10" s="24" t="inlineStr">
        <is>
          <t>▌ OBSZAR: MAGAZYN/LOGISTYKA   | Underpaid: 1  |  Overpaid: 1  |  Śr. Range Penetration: ~43%</t>
        </is>
      </c>
      <c r="B10" s="67" t="n"/>
      <c r="C10" s="67" t="n"/>
      <c r="D10" s="67" t="n"/>
      <c r="E10" s="67" t="n"/>
      <c r="F10" s="67" t="n"/>
      <c r="G10" s="67" t="n"/>
      <c r="H10" s="68" t="n"/>
    </row>
    <row r="11">
      <c r="A11" s="25" t="inlineStr">
        <is>
          <t>Grade</t>
        </is>
      </c>
      <c r="B11" s="25" t="inlineStr">
        <is>
          <t>Min Widełek (PLN)</t>
        </is>
      </c>
      <c r="C11" s="25" t="inlineStr">
        <is>
          <t>Max Widełek (PLN)</t>
        </is>
      </c>
      <c r="D11" s="25" t="inlineStr">
        <is>
          <t>Liczba Pracowników</t>
        </is>
      </c>
      <c r="E11" s="25" t="inlineStr">
        <is>
          <t>% w obszarze</t>
        </is>
      </c>
      <c r="F11" s="25" t="inlineStr">
        <is>
          <t>Underpaid</t>
        </is>
      </c>
      <c r="G11" s="25" t="inlineStr">
        <is>
          <t>Overpaid</t>
        </is>
      </c>
      <c r="H11" s="25" t="inlineStr">
        <is>
          <t>Range Penetration</t>
        </is>
      </c>
      <c r="I11" s="70" t="inlineStr">
        <is>
          <t>Szerokość widełek (PLN)</t>
        </is>
      </c>
      <c r="J11" s="70" t="inlineStr">
        <is>
          <t>Midpoint (PLN)</t>
        </is>
      </c>
    </row>
    <row r="12">
      <c r="A12" s="53" t="inlineStr">
        <is>
          <t>G1 — Operacyjny</t>
        </is>
      </c>
      <c r="B12" s="11" t="n">
        <v>4200</v>
      </c>
      <c r="C12" s="11" t="n">
        <v>5500</v>
      </c>
      <c r="D12" s="14" t="n">
        <v>44</v>
      </c>
      <c r="E12" s="54" t="n">
        <v>0.76</v>
      </c>
      <c r="F12" s="55" t="n">
        <v>1</v>
      </c>
      <c r="G12" s="56" t="n">
        <v>0</v>
      </c>
      <c r="H12" s="14" t="inlineStr">
        <is>
          <t>~38%</t>
        </is>
      </c>
      <c r="I12" s="23">
        <f>C12-B12</f>
        <v/>
      </c>
      <c r="J12" s="15">
        <f>(B12+C12)/2</f>
        <v/>
      </c>
    </row>
    <row r="13">
      <c r="A13" s="57" t="inlineStr">
        <is>
          <t>G2 — Specjalista</t>
        </is>
      </c>
      <c r="B13" s="16" t="n">
        <v>5501</v>
      </c>
      <c r="C13" s="16" t="n">
        <v>8000</v>
      </c>
      <c r="D13" s="19" t="n">
        <v>11</v>
      </c>
      <c r="E13" s="58" t="n">
        <v>0.19</v>
      </c>
      <c r="F13" s="56" t="n">
        <v>0</v>
      </c>
      <c r="G13" s="56" t="n">
        <v>0</v>
      </c>
      <c r="H13" s="19" t="inlineStr">
        <is>
          <t>~55%</t>
        </is>
      </c>
      <c r="I13" s="23">
        <f>C13-B13</f>
        <v/>
      </c>
      <c r="J13" s="20">
        <f>(B13+C13)/2</f>
        <v/>
      </c>
    </row>
    <row r="14">
      <c r="A14" s="53" t="inlineStr">
        <is>
          <t>G3 — Kierownik</t>
        </is>
      </c>
      <c r="B14" s="11" t="n">
        <v>8001</v>
      </c>
      <c r="C14" s="11" t="n">
        <v>12000</v>
      </c>
      <c r="D14" s="14" t="n">
        <v>3</v>
      </c>
      <c r="E14" s="54" t="n">
        <v>0.05</v>
      </c>
      <c r="F14" s="56" t="n">
        <v>0</v>
      </c>
      <c r="G14" s="21" t="n">
        <v>1</v>
      </c>
      <c r="H14" s="14" t="inlineStr">
        <is>
          <t>~71%</t>
        </is>
      </c>
      <c r="I14" s="23">
        <f>C14-B14</f>
        <v/>
      </c>
      <c r="J14" s="15">
        <f>(B14+C14)/2</f>
        <v/>
      </c>
    </row>
    <row r="15" ht="34" customHeight="1">
      <c r="A15" s="60" t="inlineStr">
        <is>
          <t>⚑ Rekomendacja: rozważyć nakładanie G1 i G2 (overlap) — ułatwia awans operatorów na ścieżkę specjalistyczną bez zmiany gradu.</t>
        </is>
      </c>
      <c r="B15" s="67" t="n"/>
      <c r="C15" s="67" t="n"/>
      <c r="D15" s="67" t="n"/>
      <c r="E15" s="67" t="n"/>
      <c r="F15" s="67" t="n"/>
      <c r="G15" s="67" t="n"/>
      <c r="H15" s="68" t="n"/>
    </row>
    <row r="17" ht="26" customHeight="1">
      <c r="A17" s="27" t="inlineStr">
        <is>
          <t>▌ OBSZAR: SPRZEDAŻ DETALICZNA   | Underpaid: 5  |  Overpaid: 4  |  Śr. Range Penetration: ~51%</t>
        </is>
      </c>
      <c r="B17" s="67" t="n"/>
      <c r="C17" s="67" t="n"/>
      <c r="D17" s="67" t="n"/>
      <c r="E17" s="67" t="n"/>
      <c r="F17" s="67" t="n"/>
      <c r="G17" s="67" t="n"/>
      <c r="H17" s="68" t="n"/>
    </row>
    <row r="18">
      <c r="A18" s="28" t="inlineStr">
        <is>
          <t>Grade</t>
        </is>
      </c>
      <c r="B18" s="28" t="inlineStr">
        <is>
          <t>Min Widełek (PLN)</t>
        </is>
      </c>
      <c r="C18" s="28" t="inlineStr">
        <is>
          <t>Max Widełek (PLN)</t>
        </is>
      </c>
      <c r="D18" s="28" t="inlineStr">
        <is>
          <t>Liczba Pracowników</t>
        </is>
      </c>
      <c r="E18" s="28" t="inlineStr">
        <is>
          <t>% w obszarze</t>
        </is>
      </c>
      <c r="F18" s="28" t="inlineStr">
        <is>
          <t>Underpaid</t>
        </is>
      </c>
      <c r="G18" s="28" t="inlineStr">
        <is>
          <t>Overpaid</t>
        </is>
      </c>
      <c r="H18" s="28" t="inlineStr">
        <is>
          <t>Range Penetration</t>
        </is>
      </c>
      <c r="I18" s="70" t="inlineStr">
        <is>
          <t>Szerokość widełek (PLN)</t>
        </is>
      </c>
      <c r="J18" s="70" t="inlineStr">
        <is>
          <t>Midpoint (PLN)</t>
        </is>
      </c>
    </row>
    <row r="19">
      <c r="A19" s="53" t="inlineStr">
        <is>
          <t>G1 — Sprzedawca</t>
        </is>
      </c>
      <c r="B19" s="11" t="n">
        <v>4200</v>
      </c>
      <c r="C19" s="11" t="n">
        <v>5500</v>
      </c>
      <c r="D19" s="14" t="n">
        <v>52</v>
      </c>
      <c r="E19" s="54" t="n">
        <v>0.54</v>
      </c>
      <c r="F19" s="55" t="n">
        <v>1</v>
      </c>
      <c r="G19" s="56" t="n">
        <v>0</v>
      </c>
      <c r="H19" s="14" t="inlineStr">
        <is>
          <t>~44%</t>
        </is>
      </c>
      <c r="I19" s="23">
        <f>C19-B19</f>
        <v/>
      </c>
      <c r="J19" s="15">
        <f>(B19+C19)/2</f>
        <v/>
      </c>
    </row>
    <row r="20">
      <c r="A20" s="57" t="inlineStr">
        <is>
          <t>G2 — St. Sprzedawca/Merch</t>
        </is>
      </c>
      <c r="B20" s="16" t="n">
        <v>5501</v>
      </c>
      <c r="C20" s="16" t="n">
        <v>7000</v>
      </c>
      <c r="D20" s="19" t="n">
        <v>30</v>
      </c>
      <c r="E20" s="58" t="n">
        <v>0.31</v>
      </c>
      <c r="F20" s="56" t="n">
        <v>0</v>
      </c>
      <c r="G20" s="56" t="n">
        <v>0</v>
      </c>
      <c r="H20" s="19" t="inlineStr">
        <is>
          <t>~58%</t>
        </is>
      </c>
      <c r="I20" s="23">
        <f>C20-B20</f>
        <v/>
      </c>
      <c r="J20" s="20">
        <f>(B20+C20)/2</f>
        <v/>
      </c>
    </row>
    <row r="21">
      <c r="A21" s="53" t="inlineStr">
        <is>
          <t>G3 — Kierownik Sklepu</t>
        </is>
      </c>
      <c r="B21" s="11" t="n">
        <v>7001</v>
      </c>
      <c r="C21" s="11" t="n">
        <v>13000</v>
      </c>
      <c r="D21" s="14" t="n">
        <v>14</v>
      </c>
      <c r="E21" s="54" t="n">
        <v>0.15</v>
      </c>
      <c r="F21" s="56" t="n">
        <v>0</v>
      </c>
      <c r="G21" s="21" t="n">
        <v>1</v>
      </c>
      <c r="H21" s="14" t="inlineStr">
        <is>
          <t>~72%</t>
        </is>
      </c>
      <c r="I21" s="23">
        <f>C21-B21</f>
        <v/>
      </c>
      <c r="J21" s="15">
        <f>(B21+C21)/2</f>
        <v/>
      </c>
    </row>
    <row r="22" ht="34" customHeight="1">
      <c r="A22" s="61" t="inlineStr">
        <is>
          <t>⚑ Rekomendacja: regionalne zróżnicowanie MIN widełek G1 — różnice kosztów życia między lokalizacjami sklepów uzasadniają korektę o 5–10%.</t>
        </is>
      </c>
      <c r="B22" s="67" t="n"/>
      <c r="C22" s="67" t="n"/>
      <c r="D22" s="67" t="n"/>
      <c r="E22" s="67" t="n"/>
      <c r="F22" s="67" t="n"/>
      <c r="G22" s="67" t="n"/>
      <c r="H22" s="68" t="n"/>
    </row>
    <row r="24" ht="26" customHeight="1">
      <c r="A24" s="30" t="inlineStr">
        <is>
          <t>▌ OBSZAR: HQ (HR+FINANSE+IT+MARKETING)   | Underpaid: 0  |  Overpaid: 3  |  Śr. Range Penetration: ~64%</t>
        </is>
      </c>
      <c r="B24" s="67" t="n"/>
      <c r="C24" s="67" t="n"/>
      <c r="D24" s="67" t="n"/>
      <c r="E24" s="67" t="n"/>
      <c r="F24" s="67" t="n"/>
      <c r="G24" s="67" t="n"/>
      <c r="H24" s="68" t="n"/>
    </row>
    <row r="25">
      <c r="A25" s="31" t="inlineStr">
        <is>
          <t>Grade</t>
        </is>
      </c>
      <c r="B25" s="31" t="inlineStr">
        <is>
          <t>Min Widełek (PLN)</t>
        </is>
      </c>
      <c r="C25" s="31" t="inlineStr">
        <is>
          <t>Max Widełek (PLN)</t>
        </is>
      </c>
      <c r="D25" s="31" t="inlineStr">
        <is>
          <t>Liczba Pracowników</t>
        </is>
      </c>
      <c r="E25" s="31" t="inlineStr">
        <is>
          <t>% w obszarze</t>
        </is>
      </c>
      <c r="F25" s="31" t="inlineStr">
        <is>
          <t>Underpaid</t>
        </is>
      </c>
      <c r="G25" s="31" t="inlineStr">
        <is>
          <t>Overpaid</t>
        </is>
      </c>
      <c r="H25" s="31" t="inlineStr">
        <is>
          <t>Range Penetration</t>
        </is>
      </c>
      <c r="I25" s="70" t="inlineStr">
        <is>
          <t>Szerokość widełek (PLN)</t>
        </is>
      </c>
      <c r="J25" s="70" t="inlineStr">
        <is>
          <t>Midpoint (PLN)</t>
        </is>
      </c>
    </row>
    <row r="26">
      <c r="A26" s="53" t="inlineStr">
        <is>
          <t>G2 — Specjalista</t>
        </is>
      </c>
      <c r="B26" s="11" t="n">
        <v>5501</v>
      </c>
      <c r="C26" s="11" t="n">
        <v>8000</v>
      </c>
      <c r="D26" s="14" t="n">
        <v>27</v>
      </c>
      <c r="E26" s="54" t="n">
        <v>0.36</v>
      </c>
      <c r="F26" s="56" t="n">
        <v>0</v>
      </c>
      <c r="G26" s="56" t="n">
        <v>0</v>
      </c>
      <c r="H26" s="14" t="inlineStr">
        <is>
          <t>~42%</t>
        </is>
      </c>
      <c r="I26" s="23">
        <f>C26-B26</f>
        <v/>
      </c>
      <c r="J26" s="15">
        <f>(B26+C26)/2</f>
        <v/>
      </c>
    </row>
    <row r="27">
      <c r="A27" s="57" t="inlineStr">
        <is>
          <t>G3 — St. Specjalista</t>
        </is>
      </c>
      <c r="B27" s="16" t="n">
        <v>8001</v>
      </c>
      <c r="C27" s="16" t="n">
        <v>12000</v>
      </c>
      <c r="D27" s="19" t="n">
        <v>28</v>
      </c>
      <c r="E27" s="58" t="n">
        <v>0.37</v>
      </c>
      <c r="F27" s="56" t="n">
        <v>0</v>
      </c>
      <c r="G27" s="56" t="n">
        <v>0</v>
      </c>
      <c r="H27" s="19" t="inlineStr">
        <is>
          <t>~58%</t>
        </is>
      </c>
      <c r="I27" s="23">
        <f>C27-B27</f>
        <v/>
      </c>
      <c r="J27" s="20">
        <f>(B27+C27)/2</f>
        <v/>
      </c>
    </row>
    <row r="28">
      <c r="A28" s="53" t="inlineStr">
        <is>
          <t>G4 — Kierownik/HRBP</t>
        </is>
      </c>
      <c r="B28" s="11" t="n">
        <v>12001</v>
      </c>
      <c r="C28" s="11" t="n">
        <v>17000</v>
      </c>
      <c r="D28" s="14" t="n">
        <v>17</v>
      </c>
      <c r="E28" s="54" t="n">
        <v>0.23</v>
      </c>
      <c r="F28" s="56" t="n">
        <v>0</v>
      </c>
      <c r="G28" s="56" t="n">
        <v>0</v>
      </c>
      <c r="H28" s="14" t="inlineStr">
        <is>
          <t>~74%</t>
        </is>
      </c>
      <c r="I28" s="23">
        <f>C28-B28</f>
        <v/>
      </c>
      <c r="J28" s="15">
        <f>(B28+C28)/2</f>
        <v/>
      </c>
    </row>
    <row r="29">
      <c r="A29" s="57" t="inlineStr">
        <is>
          <t>G5 — Dyrektor</t>
        </is>
      </c>
      <c r="B29" s="16" t="n">
        <v>17001</v>
      </c>
      <c r="C29" s="16" t="n">
        <v>30000</v>
      </c>
      <c r="D29" s="19" t="n">
        <v>3</v>
      </c>
      <c r="E29" s="58" t="n">
        <v>0.04</v>
      </c>
      <c r="F29" s="56" t="n">
        <v>0</v>
      </c>
      <c r="G29" s="21" t="n">
        <v>1</v>
      </c>
      <c r="H29" s="19" t="inlineStr">
        <is>
          <t>~91%</t>
        </is>
      </c>
      <c r="I29" s="23">
        <f>C29-B29</f>
        <v/>
      </c>
      <c r="J29" s="20">
        <f>(B29+C29)/2</f>
        <v/>
      </c>
    </row>
    <row r="30" ht="34" customHeight="1">
      <c r="A30" s="62" t="inlineStr">
        <is>
          <t>⚑ Rekomendacja: 3 pracownicy overpaid w G5 (IT, Finanse) — freeze podwyżek bazowych, motywacja przez premię projektową lub stock options.</t>
        </is>
      </c>
      <c r="B30" s="67" t="n"/>
      <c r="C30" s="67" t="n"/>
      <c r="D30" s="67" t="n"/>
      <c r="E30" s="67" t="n"/>
      <c r="F30" s="67" t="n"/>
      <c r="G30" s="67" t="n"/>
      <c r="H30" s="68" t="n"/>
    </row>
  </sheetData>
  <mergeCells count="10">
    <mergeCell ref="A8:H8"/>
    <mergeCell ref="A3:H3"/>
    <mergeCell ref="A30:H30"/>
    <mergeCell ref="A15:H15"/>
    <mergeCell ref="A24:H24"/>
    <mergeCell ref="A10:H10"/>
    <mergeCell ref="A2:K2"/>
    <mergeCell ref="A1:K1"/>
    <mergeCell ref="A22:H22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38" customHeight="1">
      <c r="A1" s="7" t="inlineStr">
        <is>
          <t>SYSTEM PREMIOWY  |  Analiza i rekomendacje per obszar</t>
        </is>
      </c>
    </row>
    <row r="2" ht="18" customHeight="1">
      <c r="A2" s="8" t="inlineStr">
        <is>
          <t>Autor: Daniel Ciesielski  |  Narzędzia: Excel  |  Korelacja premia–wyniki, 4 obszary, 300 pracowników</t>
        </is>
      </c>
    </row>
    <row r="3" ht="26" customHeight="1">
      <c r="A3" s="9" t="inlineStr">
        <is>
          <t>▌ OBSZAR: PRODUKCJA   | Target premia: 5.2%  |  Cap: 120%</t>
        </is>
      </c>
      <c r="B3" s="67" t="n"/>
      <c r="C3" s="67" t="n"/>
      <c r="D3" s="67" t="n"/>
      <c r="E3" s="67" t="n"/>
      <c r="F3" s="67" t="n"/>
      <c r="G3" s="68" t="n"/>
    </row>
    <row r="4" ht="20" customHeight="1">
      <c r="A4" s="33" t="inlineStr">
        <is>
          <t>Parametry systemu premiowego</t>
        </is>
      </c>
      <c r="B4" s="67" t="n"/>
      <c r="C4" s="67" t="n"/>
      <c r="D4" s="67" t="n"/>
      <c r="E4" s="67" t="n"/>
      <c r="F4" s="67" t="n"/>
      <c r="G4" s="68" t="n"/>
    </row>
    <row r="5" ht="22" customHeight="1">
      <c r="A5" s="34" t="inlineStr">
        <is>
          <t>Target premia (%)</t>
        </is>
      </c>
      <c r="B5" s="67" t="n"/>
      <c r="C5" s="67" t="n"/>
      <c r="D5" s="68" t="n"/>
      <c r="E5" s="63" t="inlineStr">
        <is>
          <t>5.2%</t>
        </is>
      </c>
      <c r="F5" s="67" t="n"/>
      <c r="G5" s="68" t="n"/>
    </row>
    <row r="6" ht="22" customHeight="1">
      <c r="A6" s="35" t="inlineStr">
        <is>
          <t>Cap premii (%)</t>
        </is>
      </c>
      <c r="B6" s="67" t="n"/>
      <c r="C6" s="67" t="n"/>
      <c r="D6" s="68" t="n"/>
      <c r="E6" s="63" t="inlineStr">
        <is>
          <t>120%</t>
        </is>
      </c>
      <c r="F6" s="67" t="n"/>
      <c r="G6" s="68" t="n"/>
    </row>
    <row r="7" ht="22" customHeight="1">
      <c r="A7" s="34" t="inlineStr">
        <is>
          <t>Kluczowe KPI</t>
        </is>
      </c>
      <c r="B7" s="67" t="n"/>
      <c r="C7" s="67" t="n"/>
      <c r="D7" s="68" t="n"/>
      <c r="E7" s="63" t="inlineStr">
        <is>
          <t>Wydajność linii, jakość (PPM), frekwencja</t>
        </is>
      </c>
      <c r="F7" s="67" t="n"/>
      <c r="G7" s="68" t="n"/>
    </row>
    <row r="8" ht="22" customHeight="1">
      <c r="A8" s="35" t="inlineStr">
        <is>
          <t>Liczba overpaid (freeze podwyżki)</t>
        </is>
      </c>
      <c r="B8" s="67" t="n"/>
      <c r="C8" s="67" t="n"/>
      <c r="D8" s="68" t="n"/>
      <c r="E8" s="63" t="inlineStr">
        <is>
          <t>3</t>
        </is>
      </c>
      <c r="F8" s="67" t="n"/>
      <c r="G8" s="68" t="n"/>
    </row>
    <row r="9" ht="22" customHeight="1">
      <c r="A9" s="34" t="inlineStr">
        <is>
          <t>Liczba underpaid (priorytet wyrównania)</t>
        </is>
      </c>
      <c r="B9" s="67" t="n"/>
      <c r="C9" s="67" t="n"/>
      <c r="D9" s="68" t="n"/>
      <c r="E9" s="63" t="inlineStr">
        <is>
          <t>5</t>
        </is>
      </c>
      <c r="F9" s="67" t="n"/>
      <c r="G9" s="68" t="n"/>
    </row>
    <row r="10" ht="20" customHeight="1">
      <c r="A10" s="33" t="inlineStr">
        <is>
          <t>Rekomendacje dla zarządu</t>
        </is>
      </c>
      <c r="B10" s="67" t="n"/>
      <c r="C10" s="67" t="n"/>
      <c r="D10" s="67" t="n"/>
      <c r="E10" s="67" t="n"/>
      <c r="F10" s="67" t="n"/>
      <c r="G10" s="68" t="n"/>
    </row>
    <row r="11" ht="32" customHeight="1">
      <c r="A11" s="5" t="inlineStr">
        <is>
          <t>1. Wprowadzić premię za frekwencję (do 3%) — bezpośredni driver redukcji rotacji.</t>
        </is>
      </c>
      <c r="B11" s="67" t="n"/>
      <c r="C11" s="67" t="n"/>
      <c r="D11" s="67" t="n"/>
      <c r="E11" s="67" t="n"/>
      <c r="F11" s="67" t="n"/>
      <c r="G11" s="68" t="n"/>
    </row>
    <row r="12" ht="32" customHeight="1">
      <c r="A12" s="6" t="inlineStr">
        <is>
          <t>2. Cap 120% dla brygadzistów, 110% dla operatorów — zapobiega dysproporcjom między zmianami.</t>
        </is>
      </c>
      <c r="B12" s="67" t="n"/>
      <c r="C12" s="67" t="n"/>
      <c r="D12" s="67" t="n"/>
      <c r="E12" s="67" t="n"/>
      <c r="F12" s="67" t="n"/>
      <c r="G12" s="68" t="n"/>
    </row>
    <row r="13" ht="32" customHeight="1">
      <c r="A13" s="5" t="inlineStr">
        <is>
          <t>3. KPI jakościowe (PPM &lt; X) jako warunek konieczny do wypłaty premii powyżej 100% targetu.</t>
        </is>
      </c>
      <c r="B13" s="67" t="n"/>
      <c r="C13" s="67" t="n"/>
      <c r="D13" s="67" t="n"/>
      <c r="E13" s="67" t="n"/>
      <c r="F13" s="67" t="n"/>
      <c r="G13" s="68" t="n"/>
    </row>
    <row r="16" ht="26" customHeight="1">
      <c r="A16" s="24" t="inlineStr">
        <is>
          <t>▌ OBSZAR: MAGAZYN/LOGISTYKA   | Target premia: 4.8%  |  Cap: 115%</t>
        </is>
      </c>
      <c r="B16" s="67" t="n"/>
      <c r="C16" s="67" t="n"/>
      <c r="D16" s="67" t="n"/>
      <c r="E16" s="67" t="n"/>
      <c r="F16" s="67" t="n"/>
      <c r="G16" s="68" t="n"/>
    </row>
    <row r="17" ht="20" customHeight="1">
      <c r="A17" s="38" t="inlineStr">
        <is>
          <t>Parametry systemu premiowego</t>
        </is>
      </c>
      <c r="B17" s="67" t="n"/>
      <c r="C17" s="67" t="n"/>
      <c r="D17" s="67" t="n"/>
      <c r="E17" s="67" t="n"/>
      <c r="F17" s="67" t="n"/>
      <c r="G17" s="68" t="n"/>
    </row>
    <row r="18" ht="22" customHeight="1">
      <c r="A18" s="34" t="inlineStr">
        <is>
          <t>Target premia (%)</t>
        </is>
      </c>
      <c r="B18" s="67" t="n"/>
      <c r="C18" s="67" t="n"/>
      <c r="D18" s="68" t="n"/>
      <c r="E18" s="64" t="inlineStr">
        <is>
          <t>4.8%</t>
        </is>
      </c>
      <c r="F18" s="67" t="n"/>
      <c r="G18" s="68" t="n"/>
    </row>
    <row r="19" ht="22" customHeight="1">
      <c r="A19" s="35" t="inlineStr">
        <is>
          <t>Cap premii (%)</t>
        </is>
      </c>
      <c r="B19" s="67" t="n"/>
      <c r="C19" s="67" t="n"/>
      <c r="D19" s="68" t="n"/>
      <c r="E19" s="64" t="inlineStr">
        <is>
          <t>115%</t>
        </is>
      </c>
      <c r="F19" s="67" t="n"/>
      <c r="G19" s="68" t="n"/>
    </row>
    <row r="20" ht="22" customHeight="1">
      <c r="A20" s="34" t="inlineStr">
        <is>
          <t>Kluczowe KPI</t>
        </is>
      </c>
      <c r="B20" s="67" t="n"/>
      <c r="C20" s="67" t="n"/>
      <c r="D20" s="68" t="n"/>
      <c r="E20" s="64" t="inlineStr">
        <is>
          <t>Terminowość dostaw, błędy kompletacji, wydajność (sztuki/h)</t>
        </is>
      </c>
      <c r="F20" s="67" t="n"/>
      <c r="G20" s="68" t="n"/>
    </row>
    <row r="21" ht="22" customHeight="1">
      <c r="A21" s="35" t="inlineStr">
        <is>
          <t>Liczba overpaid (freeze podwyżki)</t>
        </is>
      </c>
      <c r="B21" s="67" t="n"/>
      <c r="C21" s="67" t="n"/>
      <c r="D21" s="68" t="n"/>
      <c r="E21" s="64" t="inlineStr">
        <is>
          <t>2</t>
        </is>
      </c>
      <c r="F21" s="67" t="n"/>
      <c r="G21" s="68" t="n"/>
    </row>
    <row r="22" ht="22" customHeight="1">
      <c r="A22" s="34" t="inlineStr">
        <is>
          <t>Liczba underpaid (priorytet wyrównania)</t>
        </is>
      </c>
      <c r="B22" s="67" t="n"/>
      <c r="C22" s="67" t="n"/>
      <c r="D22" s="68" t="n"/>
      <c r="E22" s="64" t="inlineStr">
        <is>
          <t>1</t>
        </is>
      </c>
      <c r="F22" s="67" t="n"/>
      <c r="G22" s="68" t="n"/>
    </row>
    <row r="23" ht="20" customHeight="1">
      <c r="A23" s="38" t="inlineStr">
        <is>
          <t>Rekomendacje dla zarządu</t>
        </is>
      </c>
      <c r="B23" s="67" t="n"/>
      <c r="C23" s="67" t="n"/>
      <c r="D23" s="67" t="n"/>
      <c r="E23" s="67" t="n"/>
      <c r="F23" s="67" t="n"/>
      <c r="G23" s="68" t="n"/>
    </row>
    <row r="24" ht="32" customHeight="1">
      <c r="A24" s="5" t="inlineStr">
        <is>
          <t>1. Premia za terminowość — powiązana z SLA na poziomie działu, nie indywidualnym.</t>
        </is>
      </c>
      <c r="B24" s="67" t="n"/>
      <c r="C24" s="67" t="n"/>
      <c r="D24" s="67" t="n"/>
      <c r="E24" s="67" t="n"/>
      <c r="F24" s="67" t="n"/>
      <c r="G24" s="68" t="n"/>
    </row>
    <row r="25" ht="32" customHeight="1">
      <c r="A25" s="6" t="inlineStr">
        <is>
          <t>2. Rozważyć premię kwartalną zamiast miesięcznej — stabilizuje wypłaty i redukuje administrację.</t>
        </is>
      </c>
      <c r="B25" s="67" t="n"/>
      <c r="C25" s="67" t="n"/>
      <c r="D25" s="67" t="n"/>
      <c r="E25" s="67" t="n"/>
      <c r="F25" s="67" t="n"/>
      <c r="G25" s="68" t="n"/>
    </row>
    <row r="26" ht="32" customHeight="1">
      <c r="A26" s="5" t="inlineStr">
        <is>
          <t>3. Planista logistyki i specjalista — osobna ścieżka premiowa niż operacyjna.</t>
        </is>
      </c>
      <c r="B26" s="67" t="n"/>
      <c r="C26" s="67" t="n"/>
      <c r="D26" s="67" t="n"/>
      <c r="E26" s="67" t="n"/>
      <c r="F26" s="67" t="n"/>
      <c r="G26" s="68" t="n"/>
    </row>
    <row r="29" ht="26" customHeight="1">
      <c r="A29" s="27" t="inlineStr">
        <is>
          <t>▌ OBSZAR: SPRZEDAŻ DETALICZNA   | Target premia: 6.1%  |  Cap: 150%</t>
        </is>
      </c>
      <c r="B29" s="67" t="n"/>
      <c r="C29" s="67" t="n"/>
      <c r="D29" s="67" t="n"/>
      <c r="E29" s="67" t="n"/>
      <c r="F29" s="67" t="n"/>
      <c r="G29" s="68" t="n"/>
    </row>
    <row r="30" ht="20" customHeight="1">
      <c r="A30" s="43" t="inlineStr">
        <is>
          <t>Parametry systemu premiowego</t>
        </is>
      </c>
      <c r="B30" s="67" t="n"/>
      <c r="C30" s="67" t="n"/>
      <c r="D30" s="67" t="n"/>
      <c r="E30" s="67" t="n"/>
      <c r="F30" s="67" t="n"/>
      <c r="G30" s="68" t="n"/>
    </row>
    <row r="31" ht="22" customHeight="1">
      <c r="A31" s="34" t="inlineStr">
        <is>
          <t>Target premia (%)</t>
        </is>
      </c>
      <c r="B31" s="67" t="n"/>
      <c r="C31" s="67" t="n"/>
      <c r="D31" s="68" t="n"/>
      <c r="E31" s="65" t="inlineStr">
        <is>
          <t>6.1%</t>
        </is>
      </c>
      <c r="F31" s="67" t="n"/>
      <c r="G31" s="68" t="n"/>
    </row>
    <row r="32" ht="22" customHeight="1">
      <c r="A32" s="35" t="inlineStr">
        <is>
          <t>Cap premii (%)</t>
        </is>
      </c>
      <c r="B32" s="67" t="n"/>
      <c r="C32" s="67" t="n"/>
      <c r="D32" s="68" t="n"/>
      <c r="E32" s="65" t="inlineStr">
        <is>
          <t>150%</t>
        </is>
      </c>
      <c r="F32" s="67" t="n"/>
      <c r="G32" s="68" t="n"/>
    </row>
    <row r="33" ht="22" customHeight="1">
      <c r="A33" s="34" t="inlineStr">
        <is>
          <t>Kluczowe KPI</t>
        </is>
      </c>
      <c r="B33" s="67" t="n"/>
      <c r="C33" s="67" t="n"/>
      <c r="D33" s="68" t="n"/>
      <c r="E33" s="65" t="inlineStr">
        <is>
          <t>Target sprzedażowy sklepu, NPS, upselling</t>
        </is>
      </c>
      <c r="F33" s="67" t="n"/>
      <c r="G33" s="68" t="n"/>
    </row>
    <row r="34" ht="22" customHeight="1">
      <c r="A34" s="35" t="inlineStr">
        <is>
          <t>Liczba overpaid (freeze podwyżki)</t>
        </is>
      </c>
      <c r="B34" s="67" t="n"/>
      <c r="C34" s="67" t="n"/>
      <c r="D34" s="68" t="n"/>
      <c r="E34" s="65" t="inlineStr">
        <is>
          <t>4</t>
        </is>
      </c>
      <c r="F34" s="67" t="n"/>
      <c r="G34" s="68" t="n"/>
    </row>
    <row r="35" ht="22" customHeight="1">
      <c r="A35" s="34" t="inlineStr">
        <is>
          <t>Liczba underpaid (priorytet wyrównania)</t>
        </is>
      </c>
      <c r="B35" s="67" t="n"/>
      <c r="C35" s="67" t="n"/>
      <c r="D35" s="68" t="n"/>
      <c r="E35" s="65" t="inlineStr">
        <is>
          <t>6</t>
        </is>
      </c>
      <c r="F35" s="67" t="n"/>
      <c r="G35" s="68" t="n"/>
    </row>
    <row r="36" ht="20" customHeight="1">
      <c r="A36" s="43" t="inlineStr">
        <is>
          <t>Rekomendacje dla zarządu</t>
        </is>
      </c>
      <c r="B36" s="67" t="n"/>
      <c r="C36" s="67" t="n"/>
      <c r="D36" s="67" t="n"/>
      <c r="E36" s="67" t="n"/>
      <c r="F36" s="67" t="n"/>
      <c r="G36" s="68" t="n"/>
    </row>
    <row r="37" ht="32" customHeight="1">
      <c r="A37" s="5" t="inlineStr">
        <is>
          <t>1. Wyższy cap (150%) uzasadniony zmiennością sprzedaży — kluczowy driver motywacji w retailu.</t>
        </is>
      </c>
      <c r="B37" s="67" t="n"/>
      <c r="C37" s="67" t="n"/>
      <c r="D37" s="67" t="n"/>
      <c r="E37" s="67" t="n"/>
      <c r="F37" s="67" t="n"/>
      <c r="G37" s="68" t="n"/>
    </row>
    <row r="38" ht="32" customHeight="1">
      <c r="A38" s="6" t="inlineStr">
        <is>
          <t>2. System premiowy oparty na targecie sklepu (nie indywidualnym) — buduje teamwork.</t>
        </is>
      </c>
      <c r="B38" s="67" t="n"/>
      <c r="C38" s="67" t="n"/>
      <c r="D38" s="67" t="n"/>
      <c r="E38" s="67" t="n"/>
      <c r="F38" s="67" t="n"/>
      <c r="G38" s="68" t="n"/>
    </row>
    <row r="39" ht="32" customHeight="1">
      <c r="A39" s="5" t="inlineStr">
        <is>
          <t>3. Premia za NPS — włączenie satysfakcji klienta jako KPI redukuje churning klientów.</t>
        </is>
      </c>
      <c r="B39" s="67" t="n"/>
      <c r="C39" s="67" t="n"/>
      <c r="D39" s="67" t="n"/>
      <c r="E39" s="67" t="n"/>
      <c r="F39" s="67" t="n"/>
      <c r="G39" s="68" t="n"/>
    </row>
    <row r="42" ht="26" customHeight="1">
      <c r="A42" s="30" t="inlineStr">
        <is>
          <t>▌ OBSZAR: HQ (HR+FINANSE+IT+MARKETING)   | Target premia: 8.4%  |  Cap: 140%</t>
        </is>
      </c>
      <c r="B42" s="67" t="n"/>
      <c r="C42" s="67" t="n"/>
      <c r="D42" s="67" t="n"/>
      <c r="E42" s="67" t="n"/>
      <c r="F42" s="67" t="n"/>
      <c r="G42" s="68" t="n"/>
    </row>
    <row r="43" ht="20" customHeight="1">
      <c r="A43" s="48" t="inlineStr">
        <is>
          <t>Parametry systemu premiowego</t>
        </is>
      </c>
      <c r="B43" s="67" t="n"/>
      <c r="C43" s="67" t="n"/>
      <c r="D43" s="67" t="n"/>
      <c r="E43" s="67" t="n"/>
      <c r="F43" s="67" t="n"/>
      <c r="G43" s="68" t="n"/>
    </row>
    <row r="44" ht="22" customHeight="1">
      <c r="A44" s="34" t="inlineStr">
        <is>
          <t>Target premia (%)</t>
        </is>
      </c>
      <c r="B44" s="67" t="n"/>
      <c r="C44" s="67" t="n"/>
      <c r="D44" s="68" t="n"/>
      <c r="E44" s="66" t="inlineStr">
        <is>
          <t>8.4%</t>
        </is>
      </c>
      <c r="F44" s="67" t="n"/>
      <c r="G44" s="68" t="n"/>
    </row>
    <row r="45" ht="22" customHeight="1">
      <c r="A45" s="35" t="inlineStr">
        <is>
          <t>Cap premii (%)</t>
        </is>
      </c>
      <c r="B45" s="67" t="n"/>
      <c r="C45" s="67" t="n"/>
      <c r="D45" s="68" t="n"/>
      <c r="E45" s="66" t="inlineStr">
        <is>
          <t>140%</t>
        </is>
      </c>
      <c r="F45" s="67" t="n"/>
      <c r="G45" s="68" t="n"/>
    </row>
    <row r="46" ht="22" customHeight="1">
      <c r="A46" s="34" t="inlineStr">
        <is>
          <t>Kluczowe KPI</t>
        </is>
      </c>
      <c r="B46" s="67" t="n"/>
      <c r="C46" s="67" t="n"/>
      <c r="D46" s="68" t="n"/>
      <c r="E46" s="66" t="inlineStr">
        <is>
          <t>Cele projektu, ocena roczna (MBO), satysfakcja klienta wewnętrznego</t>
        </is>
      </c>
      <c r="F46" s="67" t="n"/>
      <c r="G46" s="68" t="n"/>
    </row>
    <row r="47" ht="22" customHeight="1">
      <c r="A47" s="35" t="inlineStr">
        <is>
          <t>Liczba overpaid (freeze podwyżki)</t>
        </is>
      </c>
      <c r="B47" s="67" t="n"/>
      <c r="C47" s="67" t="n"/>
      <c r="D47" s="68" t="n"/>
      <c r="E47" s="66" t="inlineStr">
        <is>
          <t>3</t>
        </is>
      </c>
      <c r="F47" s="67" t="n"/>
      <c r="G47" s="68" t="n"/>
    </row>
    <row r="48" ht="22" customHeight="1">
      <c r="A48" s="34" t="inlineStr">
        <is>
          <t>Liczba underpaid (priorytet wyrównania)</t>
        </is>
      </c>
      <c r="B48" s="67" t="n"/>
      <c r="C48" s="67" t="n"/>
      <c r="D48" s="68" t="n"/>
      <c r="E48" s="66" t="inlineStr">
        <is>
          <t>0</t>
        </is>
      </c>
      <c r="F48" s="67" t="n"/>
      <c r="G48" s="68" t="n"/>
    </row>
    <row r="49" ht="20" customHeight="1">
      <c r="A49" s="48" t="inlineStr">
        <is>
          <t>Rekomendacje dla zarządu</t>
        </is>
      </c>
      <c r="B49" s="67" t="n"/>
      <c r="C49" s="67" t="n"/>
      <c r="D49" s="67" t="n"/>
      <c r="E49" s="67" t="n"/>
      <c r="F49" s="67" t="n"/>
      <c r="G49" s="68" t="n"/>
    </row>
    <row r="50" ht="32" customHeight="1">
      <c r="A50" s="5" t="inlineStr">
        <is>
          <t>1. System MBO (Management by Objectives) — cele indywidualne + działowe, przegląd półroczny.</t>
        </is>
      </c>
      <c r="B50" s="67" t="n"/>
      <c r="C50" s="67" t="n"/>
      <c r="D50" s="67" t="n"/>
      <c r="E50" s="67" t="n"/>
      <c r="F50" s="67" t="n"/>
      <c r="G50" s="68" t="n"/>
    </row>
    <row r="51" ht="32" customHeight="1">
      <c r="A51" s="6" t="inlineStr">
        <is>
          <t>2. Pracownicy overpaid w IT i Finanse: freeze podwyżek bazowych, motywacja przez premię projektową.</t>
        </is>
      </c>
      <c r="B51" s="67" t="n"/>
      <c r="C51" s="67" t="n"/>
      <c r="D51" s="67" t="n"/>
      <c r="E51" s="67" t="n"/>
      <c r="F51" s="67" t="n"/>
      <c r="G51" s="68" t="n"/>
    </row>
    <row r="52" ht="32" customHeight="1">
      <c r="A52" s="5" t="inlineStr">
        <is>
          <t>3. HR i Marketing: włączyć KPI jakościowe (NPS wewnętrzny, terminowość projektów) zamiast wyłącznie finansowych.</t>
        </is>
      </c>
      <c r="B52" s="67" t="n"/>
      <c r="C52" s="67" t="n"/>
      <c r="D52" s="67" t="n"/>
      <c r="E52" s="67" t="n"/>
      <c r="F52" s="67" t="n"/>
      <c r="G52" s="68" t="n"/>
    </row>
  </sheetData>
  <mergeCells count="66">
    <mergeCell ref="A5:D5"/>
    <mergeCell ref="A8:D8"/>
    <mergeCell ref="A17:G17"/>
    <mergeCell ref="E19:G19"/>
    <mergeCell ref="A22:D22"/>
    <mergeCell ref="A35:D35"/>
    <mergeCell ref="A20:D20"/>
    <mergeCell ref="E31:G31"/>
    <mergeCell ref="A4:G4"/>
    <mergeCell ref="E34:G34"/>
    <mergeCell ref="E9:G9"/>
    <mergeCell ref="A38:G38"/>
    <mergeCell ref="A29:G29"/>
    <mergeCell ref="A19:D19"/>
    <mergeCell ref="A52:G52"/>
    <mergeCell ref="A43:G43"/>
    <mergeCell ref="A1:K1"/>
    <mergeCell ref="A10:G10"/>
    <mergeCell ref="E6:G6"/>
    <mergeCell ref="A44:D44"/>
    <mergeCell ref="A13:G13"/>
    <mergeCell ref="E46:G46"/>
    <mergeCell ref="A9:D9"/>
    <mergeCell ref="A31:D31"/>
    <mergeCell ref="A34:D34"/>
    <mergeCell ref="E45:G45"/>
    <mergeCell ref="A39:G39"/>
    <mergeCell ref="A48:D48"/>
    <mergeCell ref="A24:G24"/>
    <mergeCell ref="A30:G30"/>
    <mergeCell ref="E7:G7"/>
    <mergeCell ref="A11:G11"/>
    <mergeCell ref="A49:G49"/>
    <mergeCell ref="A51:G51"/>
    <mergeCell ref="E32:G32"/>
    <mergeCell ref="A36:G36"/>
    <mergeCell ref="A45:D45"/>
    <mergeCell ref="E22:G22"/>
    <mergeCell ref="A6:D6"/>
    <mergeCell ref="E47:G47"/>
    <mergeCell ref="A2:K2"/>
    <mergeCell ref="A7:D7"/>
    <mergeCell ref="A16:G16"/>
    <mergeCell ref="E18:G18"/>
    <mergeCell ref="E21:G21"/>
    <mergeCell ref="A25:G25"/>
    <mergeCell ref="A46:D46"/>
    <mergeCell ref="A37:G37"/>
    <mergeCell ref="A18:D18"/>
    <mergeCell ref="E33:G33"/>
    <mergeCell ref="A3:G3"/>
    <mergeCell ref="E5:G5"/>
    <mergeCell ref="E8:G8"/>
    <mergeCell ref="A12:G12"/>
    <mergeCell ref="A21:D21"/>
    <mergeCell ref="A26:G26"/>
    <mergeCell ref="E48:G48"/>
    <mergeCell ref="E35:G35"/>
    <mergeCell ref="A50:G50"/>
    <mergeCell ref="A33:D33"/>
    <mergeCell ref="E44:G44"/>
    <mergeCell ref="A47:D47"/>
    <mergeCell ref="A32:D32"/>
    <mergeCell ref="E20:G20"/>
    <mergeCell ref="A42:G4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2026-07-05T10:10:52Z</dcterms:created>
  <dcterms:modified xmlns:dcterms="http://purl.org/dc/terms/" xmlns:xsi="http://www.w3.org/2001/XMLSchema-instance" xsi:type="dcterms:W3CDTF">2026-07-11T04:51:14Z</dcterms:modified>
</cp:coreProperties>
</file>